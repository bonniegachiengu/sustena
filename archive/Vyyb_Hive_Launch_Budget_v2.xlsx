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ENU PLANNER" sheetId="2" state="visible" r:id="rId4"/>
    <sheet name="HIVE KITCHEN" sheetId="3" state="visible" r:id="rId5"/>
    <sheet name="OUTLET 1" sheetId="4" state="visible" r:id="rId6"/>
    <sheet name="TECHNOLOGY" sheetId="5" state="visible" r:id="rId7"/>
    <sheet name="LICENSING" sheetId="6" state="visible" r:id="rId8"/>
    <sheet name="STAFFING" sheetId="7" state="visible" r:id="rId9"/>
    <sheet name="WORKING CAPITAL" sheetId="8" state="visible" r:id="rId10"/>
    <sheet name="3-MONTH FORECAST" sheetId="9" state="visible" r:id="rId11"/>
    <sheet name="RECIPE INVENTOR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<sst xmlns="http://schemas.openxmlformats.org/spreadsheetml/2006/main" count="1539" uniqueCount="951">
  <si>
    <t xml:space="preserve">VYYB FOOD BUSINESS — LAUNCH BUDGET</t>
  </si>
  <si>
    <t xml:space="preserve">The Hive (Commissary Kitchen) + Outlet 1 · Nairobi, Kenya · 2026</t>
  </si>
  <si>
    <t xml:space="preserve">Includes: Kitchen build-out · Outlet fit-out · Technology · Licensing · Staffing · Working capital · Online channels</t>
  </si>
  <si>
    <t xml:space="preserve">THREE-SCENARIO BUDGET SUMMARY</t>
  </si>
  <si>
    <t xml:space="preserve">CATEGORY</t>
  </si>
  <si>
    <t xml:space="preserve">LEAN (KES)
Minimum viable</t>
  </si>
  <si>
    <t xml:space="preserve">STANDARD (KES)
Recommended</t>
  </si>
  <si>
    <t xml:space="preserve">FULL (KES)
Scale-ready</t>
  </si>
  <si>
    <t xml:space="preserve">NOTES</t>
  </si>
  <si>
    <t xml:space="preserve">1. Hive Kitchen Equipment</t>
  </si>
  <si>
    <t xml:space="preserve">Commercial range, oven, fryer, fridges, prep, smallwares</t>
  </si>
  <si>
    <t xml:space="preserve">2. Hive Fit-Out &amp; Space</t>
  </si>
  <si>
    <t xml:space="preserve">Rent deposit (3 mo) + ventilation + drainage + tiling</t>
  </si>
  <si>
    <t xml:space="preserve">3. Outlet 1 Fit-Out &amp; Space</t>
  </si>
  <si>
    <t xml:space="preserve">Rent deposit + counter + signage + furniture + A/C</t>
  </si>
  <si>
    <t xml:space="preserve">4. Technology &amp; Systems</t>
  </si>
  <si>
    <t xml:space="preserve">POS, KDS, tablets, Vyyb OS, routers, CCTV, label printer</t>
  </si>
  <si>
    <t xml:space="preserve">5. Fire Safety &amp; Compliance</t>
  </si>
  <si>
    <t xml:space="preserve">Suppression system, extinguishers, safety audit</t>
  </si>
  <si>
    <t xml:space="preserve">6. Licensing &amp; Permits</t>
  </si>
  <si>
    <t xml:space="preserve">County permit, health cert, food handlers, NEMA</t>
  </si>
  <si>
    <t xml:space="preserve">7. First Month Staffing</t>
  </si>
  <si>
    <t xml:space="preserve">Kitchen team + outlet team (see Staffing sheet)</t>
  </si>
  <si>
    <t xml:space="preserve">8. Working Capital — Inventory</t>
  </si>
  <si>
    <t xml:space="preserve">Raw materials for 1 month at launch volume</t>
  </si>
  <si>
    <t xml:space="preserve">9. Working Capital — Packaging</t>
  </si>
  <si>
    <t xml:space="preserve">Takeaway, delivery, B2B, and sealing labels</t>
  </si>
  <si>
    <t xml:space="preserve">10. Working Capital — Utilities</t>
  </si>
  <si>
    <t xml:space="preserve">Gas, electricity, water, WiFi (1st month + deposits)</t>
  </si>
  <si>
    <t xml:space="preserve">11. Marketing Launch</t>
  </si>
  <si>
    <t xml:space="preserve">Photography, launch event, flyers, influencer seeding</t>
  </si>
  <si>
    <t xml:space="preserve">12. Contingency (10%)</t>
  </si>
  <si>
    <t xml:space="preserve">Buffer for overruns, price changes, surprise costs</t>
  </si>
  <si>
    <t xml:space="preserve">★  GRAND TOTAL — ALL-IN LAUNCH COST</t>
  </si>
  <si>
    <t xml:space="preserve">See detail sheets →</t>
  </si>
  <si>
    <t xml:space="preserve">SCENARIO DEFINITIONS</t>
  </si>
  <si>
    <t xml:space="preserve">LEAN</t>
  </si>
  <si>
    <t xml:space="preserve">Minimum viable operation. Shared / ghost kitchen rental considered. Second-hand equipment. No A/C at outlet. 4-person total team. Enough to test demand and validate unit economics before investing more.</t>
  </si>
  <si>
    <t xml:space="preserve">STANDARD</t>
  </si>
  <si>
    <t xml:space="preserve">Owned commissary space (small lease). Full commercial equipment set (new). Properly branded outlet. 7-person team. Ready for Glovo/Uber Eats day 1. This is the recommended path.</t>
  </si>
  <si>
    <t xml:space="preserve">FULL</t>
  </si>
  <si>
    <t xml:space="preserve">Scale-ready from day 1. Larger commissary (serves 2+ outlets immediately). Premium equipment. Full CCTV, blast chiller, walk-in cold room. 10-person team. B2B delivery van leased.</t>
  </si>
  <si>
    <t xml:space="preserve">⚠  All figures in Kenyan Shillings (KES). Blue = input assumption. Black = formula. Source: Nairobi market rates, May 2026.</t>
  </si>
  <si>
    <t xml:space="preserve">VYYB MENU PLANNER — Active · Aspirational · Inactive</t>
  </si>
  <si>
    <t xml:space="preserve">Built from actual Vyyb IP: products.txt · Recipes.md · CORE PRODUCTION SYSTEM.md  |  Budget covers ACTIVE + ASPIRATIONAL only.</t>
  </si>
  <si>
    <t xml:space="preserve">● ACTIVE = on menu now   ◑ ASPIRATIONAL = launch within 90 days   ○ INACTIVE = excluded from budget</t>
  </si>
  <si>
    <t xml:space="preserve">RECIPE / DISH NAME</t>
  </si>
  <si>
    <t xml:space="preserve">STATUS</t>
  </si>
  <si>
    <t xml:space="preserve">EST. DAILY
VOL (units)</t>
  </si>
  <si>
    <t xml:space="preserve">SELLING
PRICE (KES)</t>
  </si>
  <si>
    <t xml:space="preserve">FOOD
COST %</t>
  </si>
  <si>
    <t xml:space="preserve">KEY INGREDIENTS (top 3)</t>
  </si>
  <si>
    <t xml:space="preserve">NOTES / CHANNEL</t>
  </si>
  <si>
    <t xml:space="preserve">SNACKS</t>
  </si>
  <si>
    <t xml:space="preserve">Potato Samosa</t>
  </si>
  <si>
    <t xml:space="preserve">Snacks</t>
  </si>
  <si>
    <t xml:space="preserve">● ACTIVE</t>
  </si>
  <si>
    <t xml:space="preserve">28%</t>
  </si>
  <si>
    <t xml:space="preserve">Potato, onion, wheat flour</t>
  </si>
  <si>
    <t xml:space="preserve">Street / Outlet / WhatsApp</t>
  </si>
  <si>
    <t xml:space="preserve">Beef Samosa</t>
  </si>
  <si>
    <t xml:space="preserve">30%</t>
  </si>
  <si>
    <t xml:space="preserve">Beef mince, onion, wheat flour</t>
  </si>
  <si>
    <t xml:space="preserve">Viazi Karai</t>
  </si>
  <si>
    <t xml:space="preserve">25%</t>
  </si>
  <si>
    <t xml:space="preserve">Potato, turmeric batter, chilli</t>
  </si>
  <si>
    <t xml:space="preserve">Outlet / Glovo</t>
  </si>
  <si>
    <t xml:space="preserve">FRIES</t>
  </si>
  <si>
    <t xml:space="preserve">Fries — Medium</t>
  </si>
  <si>
    <t xml:space="preserve">Fries</t>
  </si>
  <si>
    <t xml:space="preserve">22%</t>
  </si>
  <si>
    <t xml:space="preserve">Potato, cooking oil, salt</t>
  </si>
  <si>
    <t xml:space="preserve">All channels</t>
  </si>
  <si>
    <t xml:space="preserve">Fries — Large</t>
  </si>
  <si>
    <t xml:space="preserve">Fries — Family</t>
  </si>
  <si>
    <t xml:space="preserve">Potato (500-600g), oil, salt</t>
  </si>
  <si>
    <t xml:space="preserve">Outlet / Delivery</t>
  </si>
  <si>
    <t xml:space="preserve">BASES &amp; GRAINS</t>
  </si>
  <si>
    <t xml:space="preserve">Rice</t>
  </si>
  <si>
    <t xml:space="preserve">Bases</t>
  </si>
  <si>
    <t xml:space="preserve">18%</t>
  </si>
  <si>
    <t xml:space="preserve">Long grain rice</t>
  </si>
  <si>
    <t xml:space="preserve">Dine-in / Delivery</t>
  </si>
  <si>
    <t xml:space="preserve">Ugali</t>
  </si>
  <si>
    <t xml:space="preserve">15%</t>
  </si>
  <si>
    <t xml:space="preserve">Maize flour (unga), water</t>
  </si>
  <si>
    <t xml:space="preserve">Dine-in</t>
  </si>
  <si>
    <t xml:space="preserve">Pilau</t>
  </si>
  <si>
    <t xml:space="preserve">Basmati rice, pilau masala, beef, 5kg hub batch</t>
  </si>
  <si>
    <t xml:space="preserve">Dine-in / WhatsApp</t>
  </si>
  <si>
    <t xml:space="preserve">Fried Rice</t>
  </si>
  <si>
    <t xml:space="preserve">Rice, egg, onion, sauce</t>
  </si>
  <si>
    <t xml:space="preserve">Mihogo (Cassava)</t>
  </si>
  <si>
    <t xml:space="preserve">12%</t>
  </si>
  <si>
    <t xml:space="preserve">Cassava (boiled)</t>
  </si>
  <si>
    <t xml:space="preserve">Nduma (Arrowroot)</t>
  </si>
  <si>
    <t xml:space="preserve">Arrowroot (boiled)</t>
  </si>
  <si>
    <t xml:space="preserve">Mukimo</t>
  </si>
  <si>
    <t xml:space="preserve">◑ ASPIR.</t>
  </si>
  <si>
    <t xml:space="preserve">Potato, maize, beans, greens</t>
  </si>
  <si>
    <t xml:space="preserve">Hub prep needed</t>
  </si>
  <si>
    <t xml:space="preserve">Matoke</t>
  </si>
  <si>
    <t xml:space="preserve">Green banana, master gravy</t>
  </si>
  <si>
    <t xml:space="preserve">PROTEINS (individual)</t>
  </si>
  <si>
    <t xml:space="preserve">Chicken Offcut</t>
  </si>
  <si>
    <t xml:space="preserve">Proteins</t>
  </si>
  <si>
    <t xml:space="preserve">Chicken, spice blend, double-bread coat</t>
  </si>
  <si>
    <t xml:space="preserve">Street / All channels</t>
  </si>
  <si>
    <t xml:space="preserve">Chicken Wing</t>
  </si>
  <si>
    <t xml:space="preserve">Chicken wings, KFC-style double coat</t>
  </si>
  <si>
    <t xml:space="preserve">Chicken Leg</t>
  </si>
  <si>
    <t xml:space="preserve">Chicken leg, double-bread coat</t>
  </si>
  <si>
    <t xml:space="preserve">Chicken Piece</t>
  </si>
  <si>
    <t xml:space="preserve">Breast/thigh 120-150g, double coat</t>
  </si>
  <si>
    <t xml:space="preserve">All channels — hero item</t>
  </si>
  <si>
    <t xml:space="preserve">Chicken Strip</t>
  </si>
  <si>
    <t xml:space="preserve">26%</t>
  </si>
  <si>
    <t xml:space="preserve">Boneless strips ~40-50g, fast fry</t>
  </si>
  <si>
    <t xml:space="preserve">Wraps / Outlet</t>
  </si>
  <si>
    <t xml:space="preserve">Smokie</t>
  </si>
  <si>
    <t xml:space="preserve">Smokie (light boil or grill)</t>
  </si>
  <si>
    <t xml:space="preserve">Street / Bun / Wrap</t>
  </si>
  <si>
    <t xml:space="preserve">Egg</t>
  </si>
  <si>
    <t xml:space="preserve">Egg (boiled or fried per use)</t>
  </si>
  <si>
    <t xml:space="preserve">Breakfast / Street</t>
  </si>
  <si>
    <t xml:space="preserve">Beef (stew)</t>
  </si>
  <si>
    <t xml:space="preserve">32%</t>
  </si>
  <si>
    <t xml:space="preserve">Beef stewing cuts, master gravy</t>
  </si>
  <si>
    <t xml:space="preserve">Matumbo (Tripe)</t>
  </si>
  <si>
    <t xml:space="preserve">Tripe, master gravy, spice</t>
  </si>
  <si>
    <t xml:space="preserve">Prep-intensive — hub boil</t>
  </si>
  <si>
    <t xml:space="preserve">Gizzards</t>
  </si>
  <si>
    <t xml:space="preserve">Gizzards pre-boil hub, fry spoke</t>
  </si>
  <si>
    <t xml:space="preserve">Used in Gizz Wrap (not sold solo)</t>
  </si>
  <si>
    <t xml:space="preserve">LEGUMES &amp; STEWS</t>
  </si>
  <si>
    <t xml:space="preserve">Beans</t>
  </si>
  <si>
    <t xml:space="preserve">Legumes</t>
  </si>
  <si>
    <t xml:space="preserve">Dried beans, master gravy</t>
  </si>
  <si>
    <t xml:space="preserve">Dine-in / Breakfast combo</t>
  </si>
  <si>
    <t xml:space="preserve">Ndengu</t>
  </si>
  <si>
    <t xml:space="preserve">Green grams, gravy, grated carrot, dhania</t>
  </si>
  <si>
    <t xml:space="preserve">Minji</t>
  </si>
  <si>
    <t xml:space="preserve">20%</t>
  </si>
  <si>
    <t xml:space="preserve">Peas, gravy, carrot, potato cubes</t>
  </si>
  <si>
    <t xml:space="preserve">Njahi</t>
  </si>
  <si>
    <t xml:space="preserve">Black beans, gravy, leeks, black pepper</t>
  </si>
  <si>
    <t xml:space="preserve">Seasonal</t>
  </si>
  <si>
    <t xml:space="preserve">Greens (Sukuma)</t>
  </si>
  <si>
    <t xml:space="preserve">Sukuma wiki / spinach sauté</t>
  </si>
  <si>
    <t xml:space="preserve">Dine-in side</t>
  </si>
  <si>
    <t xml:space="preserve">Salad</t>
  </si>
  <si>
    <t xml:space="preserve">Cabbage + carrot raw mix</t>
  </si>
  <si>
    <t xml:space="preserve">All channels — combo component</t>
  </si>
  <si>
    <t xml:space="preserve">SAUCES &amp; CONDIMENTS</t>
  </si>
  <si>
    <t xml:space="preserve">Master Gravy</t>
  </si>
  <si>
    <t xml:space="preserve">Sauces</t>
  </si>
  <si>
    <t xml:space="preserve">Onion 3kg, tomato 4kg, garlic/ginger, stock — 10L hub batch</t>
  </si>
  <si>
    <t xml:space="preserve">All dine-in meals</t>
  </si>
  <si>
    <t xml:space="preserve">Kachumbari</t>
  </si>
  <si>
    <t xml:space="preserve">10%</t>
  </si>
  <si>
    <t xml:space="preserve">Tomato, onion, coriander, salt, lemon</t>
  </si>
  <si>
    <t xml:space="preserve">All wraps / street</t>
  </si>
  <si>
    <t xml:space="preserve">BBQ Sauce</t>
  </si>
  <si>
    <t xml:space="preserve">Tomato paste, BBQ spice — 5L hub batch</t>
  </si>
  <si>
    <t xml:space="preserve">Garlic Sauce</t>
  </si>
  <si>
    <t xml:space="preserve">Garlic, oil, vinegar — 5L hub batch</t>
  </si>
  <si>
    <t xml:space="preserve">Spicy Sauce (Vyyb)</t>
  </si>
  <si>
    <t xml:space="preserve">Red chilli 500g, tomato paste, vinegar, cayenne — 1L batch</t>
  </si>
  <si>
    <t xml:space="preserve">Flavor engine — all channels</t>
  </si>
  <si>
    <t xml:space="preserve">Chilli Sauce</t>
  </si>
  <si>
    <t xml:space="preserve">Chilli blend, garlic — 5L hub batch</t>
  </si>
  <si>
    <t xml:space="preserve">BBQ Rub</t>
  </si>
  <si>
    <t xml:space="preserve">BBQ dry spice blend</t>
  </si>
  <si>
    <t xml:space="preserve">Grilled proteins</t>
  </si>
  <si>
    <t xml:space="preserve">Garlic Dip</t>
  </si>
  <si>
    <t xml:space="preserve">Garlic sauce → 30ml soufflé cup</t>
  </si>
  <si>
    <t xml:space="preserve">Combo / Outlet</t>
  </si>
  <si>
    <t xml:space="preserve">BBQ Dip</t>
  </si>
  <si>
    <t xml:space="preserve">BBQ sauce → 30ml soufflé cup</t>
  </si>
  <si>
    <t xml:space="preserve">Spicy Dip</t>
  </si>
  <si>
    <t xml:space="preserve">Spicy sauce → 30ml soufflé cup</t>
  </si>
  <si>
    <t xml:space="preserve">Chilli Dip</t>
  </si>
  <si>
    <t xml:space="preserve">Chilli sauce → 30ml soufflé cup</t>
  </si>
  <si>
    <t xml:space="preserve">Ketchup</t>
  </si>
  <si>
    <t xml:space="preserve">8%</t>
  </si>
  <si>
    <t xml:space="preserve">Ketchup sachets — purchased bulk</t>
  </si>
  <si>
    <t xml:space="preserve">Fries condiment</t>
  </si>
  <si>
    <t xml:space="preserve">BREAKFAST</t>
  </si>
  <si>
    <t xml:space="preserve">Mandazi Dondo</t>
  </si>
  <si>
    <t xml:space="preserve">Breakfast</t>
  </si>
  <si>
    <t xml:space="preserve">Mandazi ×3, beans (half ladle), chai small</t>
  </si>
  <si>
    <t xml:space="preserve">Morning / WhatsApp / Outlet</t>
  </si>
  <si>
    <t xml:space="preserve">Mandazi Dondo+</t>
  </si>
  <si>
    <t xml:space="preserve">Mandazi ×5, beans, chai large</t>
  </si>
  <si>
    <t xml:space="preserve">STREET CORE</t>
  </si>
  <si>
    <t xml:space="preserve">Smocha</t>
  </si>
  <si>
    <t xml:space="preserve">Street</t>
  </si>
  <si>
    <t xml:space="preserve">Chapati (80g), smokie, kachumbari (30g), sauce (15ml) — roll</t>
  </si>
  <si>
    <t xml:space="preserve">Street / Outlet</t>
  </si>
  <si>
    <t xml:space="preserve">Mayocha</t>
  </si>
  <si>
    <t xml:space="preserve">Chapati, egg, kachumbari, sauce — roll</t>
  </si>
  <si>
    <t xml:space="preserve">Gizz Wrap</t>
  </si>
  <si>
    <t xml:space="preserve">Gizzards ×2 (~100g), chapati 80g, kachumbari, sauce</t>
  </si>
  <si>
    <t xml:space="preserve">Outlet / WhatsApp</t>
  </si>
  <si>
    <t xml:space="preserve">Strip Wrap</t>
  </si>
  <si>
    <t xml:space="preserve">Strips ×2 (~100g), chapati 80g, kachumbari, sauce</t>
  </si>
  <si>
    <t xml:space="preserve">Viazi Wrap</t>
  </si>
  <si>
    <t xml:space="preserve">Fries/bhajia/karai (120g), chapati, kachumbari, sauce</t>
  </si>
  <si>
    <t xml:space="preserve">Outlet / Street</t>
  </si>
  <si>
    <t xml:space="preserve">Mayai Bun</t>
  </si>
  <si>
    <t xml:space="preserve">Bun, egg, kachumbari, sauce</t>
  </si>
  <si>
    <t xml:space="preserve">Street / Breakfast</t>
  </si>
  <si>
    <t xml:space="preserve">Smokie Bun</t>
  </si>
  <si>
    <t xml:space="preserve">Bun, smokie, kachumbari, sauce</t>
  </si>
  <si>
    <t xml:space="preserve">MEALS</t>
  </si>
  <si>
    <t xml:space="preserve">Wrap Meal</t>
  </si>
  <si>
    <t xml:space="preserve">Meals</t>
  </si>
  <si>
    <t xml:space="preserve">Any wrap + small fries (120g) + 1 dip</t>
  </si>
  <si>
    <t xml:space="preserve">Outlet / WhatsApp / Glovo</t>
  </si>
  <si>
    <t xml:space="preserve">Wrap Box</t>
  </si>
  <si>
    <t xml:space="preserve">Wrap + 1pc + small fries + mojito small</t>
  </si>
  <si>
    <t xml:space="preserve">Rice Meal</t>
  </si>
  <si>
    <t xml:space="preserve">Rice (250g) + 1pc + gravy (80-100ml)</t>
  </si>
  <si>
    <t xml:space="preserve">Pandora Box</t>
  </si>
  <si>
    <t xml:space="preserve">2 offcuts + fries/2chapo + salad</t>
  </si>
  <si>
    <t xml:space="preserve">Snacker</t>
  </si>
  <si>
    <t xml:space="preserve">1pc/3 offcuts + fries/2chapo + salad + sauce sizzle</t>
  </si>
  <si>
    <t xml:space="preserve">Chicken Meal</t>
  </si>
  <si>
    <t xml:space="preserve">2pc/5 offcuts + fries/chapo + salad + 1 dip</t>
  </si>
  <si>
    <t xml:space="preserve">Vyyb Meal</t>
  </si>
  <si>
    <t xml:space="preserve">3pc/8 offcuts + fries/chapo + salad + 2 dips</t>
  </si>
  <si>
    <t xml:space="preserve">All channels — flagship</t>
  </si>
  <si>
    <t xml:space="preserve">BOXES</t>
  </si>
  <si>
    <t xml:space="preserve">Snack Box</t>
  </si>
  <si>
    <t xml:space="preserve">Boxes</t>
  </si>
  <si>
    <t xml:space="preserve">Snacker + mojito small</t>
  </si>
  <si>
    <t xml:space="preserve">Chicken Box</t>
  </si>
  <si>
    <t xml:space="preserve">Chicken Meal + mojito small</t>
  </si>
  <si>
    <t xml:space="preserve">Vyyb Box</t>
  </si>
  <si>
    <t xml:space="preserve">Vyyb Meal + mojito small</t>
  </si>
  <si>
    <t xml:space="preserve">Outlet / Delivery — high value</t>
  </si>
  <si>
    <t xml:space="preserve">Large Box</t>
  </si>
  <si>
    <t xml:space="preserve">4pc/10 offcuts + fries + salad + mojito + 2 dips</t>
  </si>
  <si>
    <t xml:space="preserve">Outlet / B2B / Events</t>
  </si>
  <si>
    <t xml:space="preserve">BUCKETS / CATERING</t>
  </si>
  <si>
    <t xml:space="preserve">Mini Bucket</t>
  </si>
  <si>
    <t xml:space="preserve">Buckets</t>
  </si>
  <si>
    <t xml:space="preserve">6pc + family fries + 3 chapo + 3 salad + 3 dips + mojito lg</t>
  </si>
  <si>
    <t xml:space="preserve">Events / Office / B2B — Roaming Catering Set</t>
  </si>
  <si>
    <t xml:space="preserve">Bucket</t>
  </si>
  <si>
    <t xml:space="preserve">8pc + family fries + 4 chapo + 4 salad + 4 dips + 2 mojito lg</t>
  </si>
  <si>
    <t xml:space="preserve">Events / B2B</t>
  </si>
  <si>
    <t xml:space="preserve">Mega</t>
  </si>
  <si>
    <t xml:space="preserve">12pc + family fries + 6 chapo + 6 salad + 6 dips + 3 mojito lg</t>
  </si>
  <si>
    <t xml:space="preserve">Large events / B2B</t>
  </si>
  <si>
    <t xml:space="preserve">DRINKS</t>
  </si>
  <si>
    <t xml:space="preserve">Chai Small</t>
  </si>
  <si>
    <t xml:space="preserve">Drinks</t>
  </si>
  <si>
    <t xml:space="preserve">Tea leaves, milk, sugar</t>
  </si>
  <si>
    <t xml:space="preserve">Morning / Dine-in</t>
  </si>
  <si>
    <t xml:space="preserve">Chai Large</t>
  </si>
  <si>
    <t xml:space="preserve">Uji Power — Small</t>
  </si>
  <si>
    <t xml:space="preserve">Mihogo + nduma + roasted groundnuts + milk + water — hub blend</t>
  </si>
  <si>
    <t xml:space="preserve">Breakfast / Health</t>
  </si>
  <si>
    <t xml:space="preserve">Uji Power — Large</t>
  </si>
  <si>
    <t xml:space="preserve">Coffee Express</t>
  </si>
  <si>
    <t xml:space="preserve">Nescafé instant + hot water</t>
  </si>
  <si>
    <t xml:space="preserve">Morning / Outlet</t>
  </si>
  <si>
    <t xml:space="preserve">Mojito — Small</t>
  </si>
  <si>
    <t xml:space="preserve">Mojito base 30ml (mint, lime, ginger, syrup) + soda + ice</t>
  </si>
  <si>
    <t xml:space="preserve">Outlet / All combos</t>
  </si>
  <si>
    <t xml:space="preserve">Mojito — Large</t>
  </si>
  <si>
    <t xml:space="preserve">Mojito base 30ml + soda + ice — larger cup</t>
  </si>
  <si>
    <t xml:space="preserve">Outlet / Buckets</t>
  </si>
  <si>
    <t xml:space="preserve">Smoothie — Small</t>
  </si>
  <si>
    <t xml:space="preserve">Fresh fruit, ice, sugar syrup — blender needed</t>
  </si>
  <si>
    <t xml:space="preserve">Outlet — blender + fruit sourcing required</t>
  </si>
  <si>
    <t xml:space="preserve">Smoothie — Large</t>
  </si>
  <si>
    <t xml:space="preserve">THE HIVE — Commissary Kitchen Detailed Budget</t>
  </si>
  <si>
    <t xml:space="preserve">Central production kitchen: serves 2 outlets + WhatsApp/App/Glovo/Uber Eats + B2B supply</t>
  </si>
  <si>
    <t xml:space="preserve">A.  SPACE &amp; FIT-OUT</t>
  </si>
  <si>
    <t xml:space="preserve">ITEM / DESCRIPTION</t>
  </si>
  <si>
    <t xml:space="preserve">UNIT COST (KES)</t>
  </si>
  <si>
    <t xml:space="preserve">QTY</t>
  </si>
  <si>
    <t xml:space="preserve">TOTAL (KES)</t>
  </si>
  <si>
    <t xml:space="preserve">SCENARIO</t>
  </si>
  <si>
    <t xml:space="preserve">NOTES / SPEC</t>
  </si>
  <si>
    <t xml:space="preserve">Lease deposit — 3 months upfront</t>
  </si>
  <si>
    <t xml:space="preserve">All</t>
  </si>
  <si>
    <t xml:space="preserve">Industrial area: Ruaraka/Kasarani/Kahawa ~40sqm</t>
  </si>
  <si>
    <t xml:space="preserve">Electrical installation (3-phase)</t>
  </si>
  <si>
    <t xml:space="preserve">Commercial 3-phase for heavy equipment</t>
  </si>
  <si>
    <t xml:space="preserve">Plumbing &amp; drainage (floor drains x4)</t>
  </si>
  <si>
    <t xml:space="preserve">HACCP-compliant floor drains + grease trap</t>
  </si>
  <si>
    <t xml:space="preserve">Floor tiling (non-slip, food-grade)</t>
  </si>
  <si>
    <t xml:space="preserve">Std/Full</t>
  </si>
  <si>
    <t xml:space="preserve">Per sqm rate, 40sqm kitchen</t>
  </si>
  <si>
    <t xml:space="preserve">Wall tiling (to 2m height, 3 walls)</t>
  </si>
  <si>
    <t xml:space="preserve">Food-safe ceramic, easy-clean</t>
  </si>
  <si>
    <t xml:space="preserve">Exhaust hood + ducting + fan</t>
  </si>
  <si>
    <t xml:space="preserve">Canopy hood over range + convection oven</t>
  </si>
  <si>
    <t xml:space="preserve">Gas piping installation + regulator</t>
  </si>
  <si>
    <t xml:space="preserve">Manifold to range + fryers</t>
  </si>
  <si>
    <t xml:space="preserve">Ventilation / HVAC (extraction)</t>
  </si>
  <si>
    <t xml:space="preserve">Kitchen extract fan + fresh air supply</t>
  </si>
  <si>
    <t xml:space="preserve">Handwashing sinks × 2 (stainless)</t>
  </si>
  <si>
    <t xml:space="preserve">HACCP requirement — dedicated handwash</t>
  </si>
  <si>
    <t xml:space="preserve">3-compartment warewash sink</t>
  </si>
  <si>
    <t xml:space="preserve">Wash / rinse / sanitise</t>
  </si>
  <si>
    <t xml:space="preserve">Lighting (commercial LED, 8 fittings)</t>
  </si>
  <si>
    <t xml:space="preserve">Bright food-safe lighting</t>
  </si>
  <si>
    <t xml:space="preserve">SUBTOTAL — Space &amp; Fit-Out</t>
  </si>
  <si>
    <t xml:space="preserve">B.  COOKING EQUIPMENT</t>
  </si>
  <si>
    <t xml:space="preserve">Commercial gas range — 6 burner (stainless)</t>
  </si>
  <si>
    <t xml:space="preserve">New: Moffat/Falcon/local. Second-hand -30%</t>
  </si>
  <si>
    <t xml:space="preserve">Commercial convection oven — half-deck</t>
  </si>
  <si>
    <t xml:space="preserve">Half-deck saves space; full deck for Full</t>
  </si>
  <si>
    <t xml:space="preserve">Commercial deep fryer — double basket</t>
  </si>
  <si>
    <t xml:space="preserve">15L+15L capacity; thermostat control</t>
  </si>
  <si>
    <t xml:space="preserve">Commercial griddle / flat top (60cm)</t>
  </si>
  <si>
    <t xml:space="preserve">For chapati, nyama choma, flat bread</t>
  </si>
  <si>
    <t xml:space="preserve">Commercial charcoal grill / broiler</t>
  </si>
  <si>
    <t xml:space="preserve">Full</t>
  </si>
  <si>
    <t xml:space="preserve">B2B event catering + smoky profiles</t>
  </si>
  <si>
    <t xml:space="preserve">Bain marie — 4 well (hot hold)</t>
  </si>
  <si>
    <t xml:space="preserve">Keeps batches at temp during service</t>
  </si>
  <si>
    <t xml:space="preserve">Commercial rice cooker (20L)</t>
  </si>
  <si>
    <t xml:space="preserve">High-volume staple — faster than range</t>
  </si>
  <si>
    <t xml:space="preserve">Pressure cooker (commercial, 20L)</t>
  </si>
  <si>
    <t xml:space="preserve">Tenderising proteins at speed</t>
  </si>
  <si>
    <t xml:space="preserve">Induction burner × 2 (portable, backup)</t>
  </si>
  <si>
    <t xml:space="preserve">Flexible station; power backup for gas outage</t>
  </si>
  <si>
    <t xml:space="preserve">SUBTOTAL — Cooking Equipment</t>
  </si>
  <si>
    <t xml:space="preserve">C.  REFRIGERATION &amp; COLD STORAGE</t>
  </si>
  <si>
    <t xml:space="preserve">Upright 2-door commercial fridge (600L)</t>
  </si>
  <si>
    <t xml:space="preserve">Stainless, reach-in; raw materials chilled</t>
  </si>
  <si>
    <t xml:space="preserve">Upright 2-door commercial freezer (600L)</t>
  </si>
  <si>
    <t xml:space="preserve">Frozen proteins, pre-made batches</t>
  </si>
  <si>
    <t xml:space="preserve">Chest freezer (300L, secondary)</t>
  </si>
  <si>
    <t xml:space="preserve">Overflow frozen stock</t>
  </si>
  <si>
    <t xml:space="preserve">Under-counter bar fridge (for outlet supply)</t>
  </si>
  <si>
    <t xml:space="preserve">Chilled finished goods dispatch to outlet</t>
  </si>
  <si>
    <t xml:space="preserve">Blast chiller (5-tray, Phase 2)</t>
  </si>
  <si>
    <t xml:space="preserve">Rapid cooling to safe temp; HACCP gold standard</t>
  </si>
  <si>
    <t xml:space="preserve">Ice machine (countertop)</t>
  </si>
  <si>
    <t xml:space="preserve">For beverages and food-safe ice</t>
  </si>
  <si>
    <t xml:space="preserve">SUBTOTAL — Refrigeration</t>
  </si>
  <si>
    <t xml:space="preserve">D.  PREPARATION EQUIPMENT</t>
  </si>
  <si>
    <t xml:space="preserve">Stainless prep table (1.5m × 0.7m)</t>
  </si>
  <si>
    <t xml:space="preserve">NSF food-grade; heavy gauge</t>
  </si>
  <si>
    <t xml:space="preserve">Commercial food mixer — 20L bowl</t>
  </si>
  <si>
    <t xml:space="preserve">Dough, batters, marinades; Hobart-style</t>
  </si>
  <si>
    <t xml:space="preserve">Commercial blender (heavy duty, 2L jar)</t>
  </si>
  <si>
    <t xml:space="preserve">Smoothies, sauces, soups</t>
  </si>
  <si>
    <t xml:space="preserve">Commercial food processor (3L)</t>
  </si>
  <si>
    <t xml:space="preserve">Rapid veg prep</t>
  </si>
  <si>
    <t xml:space="preserve">Meat mincer / grinder</t>
  </si>
  <si>
    <t xml:space="preserve">Mince fresh; control quality</t>
  </si>
  <si>
    <t xml:space="preserve">Commercial slicer (manual deli)</t>
  </si>
  <si>
    <t xml:space="preserve">Sliced proteins for wraps etc.</t>
  </si>
  <si>
    <t xml:space="preserve">Vegetable peeler (electric, commercial)</t>
  </si>
  <si>
    <t xml:space="preserve">High volume veg prep</t>
  </si>
  <si>
    <t xml:space="preserve">NSF stainless shelving unit (5-tier)</t>
  </si>
  <si>
    <t xml:space="preserve">Storage: dry goods, smallwares</t>
  </si>
  <si>
    <t xml:space="preserve">Ingredient storage bins (set of 20)</t>
  </si>
  <si>
    <t xml:space="preserve">Flour, sugar, spices — labelled</t>
  </si>
  <si>
    <t xml:space="preserve">SUBTOTAL — Prep Equipment</t>
  </si>
  <si>
    <t xml:space="preserve">E.  SMALLWARES &amp; UTENSILS</t>
  </si>
  <si>
    <t xml:space="preserve">Pots set: 20L, 30L, 50L, 80L</t>
  </si>
  <si>
    <t xml:space="preserve">Heavy gauge stainless</t>
  </si>
  <si>
    <t xml:space="preserve">Hotel pans / GN containers (set of 24)</t>
  </si>
  <si>
    <t xml:space="preserve">1/1, 1/2, 1/3 gastronorm + lids</t>
  </si>
  <si>
    <t xml:space="preserve">Knife set (10pc professional)</t>
  </si>
  <si>
    <t xml:space="preserve">Chef, boning, bread, paring, filleting</t>
  </si>
  <si>
    <t xml:space="preserve">HACCP colour-coded cutting boards × 6</t>
  </si>
  <si>
    <t xml:space="preserve">Red=raw meat, green=veg, blue=fish etc.</t>
  </si>
  <si>
    <t xml:space="preserve">Mixing bowls — stainless (set of 10)</t>
  </si>
  <si>
    <t xml:space="preserve">4L, 8L, 15L sizes</t>
  </si>
  <si>
    <t xml:space="preserve">Ladles, spatulas, tongs, whips (set)</t>
  </si>
  <si>
    <t xml:space="preserve">Full service set</t>
  </si>
  <si>
    <t xml:space="preserve">Colanders, strainers (set)</t>
  </si>
  <si>
    <t xml:space="preserve">Multiple sizes</t>
  </si>
  <si>
    <t xml:space="preserve">Probe thermometers × 4</t>
  </si>
  <si>
    <t xml:space="preserve">Digital; HACCP critical for safe temps</t>
  </si>
  <si>
    <t xml:space="preserve">Measuring jugs + scales (0.1g)</t>
  </si>
  <si>
    <t xml:space="preserve">Recipe standardisation</t>
  </si>
  <si>
    <t xml:space="preserve">Speed racks / sheet pan racks × 2</t>
  </si>
  <si>
    <t xml:space="preserve">Rolling oven racks; batch management</t>
  </si>
  <si>
    <t xml:space="preserve">Portion control cups + lids (500 pcs)</t>
  </si>
  <si>
    <t xml:space="preserve">Consistency across outlets</t>
  </si>
  <si>
    <t xml:space="preserve">Chafing dish set (6 units)</t>
  </si>
  <si>
    <t xml:space="preserve">Events &amp; B2B presentations</t>
  </si>
  <si>
    <t xml:space="preserve">Cleaning trolley + mop + buckets</t>
  </si>
  <si>
    <t xml:space="preserve">HACCP-dedicated cleaning station</t>
  </si>
  <si>
    <t xml:space="preserve">Aprons, hats, gloves (staff × 10)</t>
  </si>
  <si>
    <t xml:space="preserve">PPE for food safety compliance</t>
  </si>
  <si>
    <t xml:space="preserve">SUBTOTAL — Smallwares</t>
  </si>
  <si>
    <t xml:space="preserve">F.  FIRE SAFETY &amp; COMPLIANCE</t>
  </si>
  <si>
    <t xml:space="preserve">Ansul / wet chemical suppression system</t>
  </si>
  <si>
    <t xml:space="preserve">Over range and fryer — insurance requirement</t>
  </si>
  <si>
    <t xml:space="preserve">ABC fire extinguisher × 4</t>
  </si>
  <si>
    <t xml:space="preserve">Kitchen + entrance + back-of-house</t>
  </si>
  <si>
    <t xml:space="preserve">CO2 fire extinguisher (electrical room)</t>
  </si>
  <si>
    <t xml:space="preserve">Electrical panel protection</t>
  </si>
  <si>
    <t xml:space="preserve">First aid kit (commercial)</t>
  </si>
  <si>
    <t xml:space="preserve">OSHA requirement</t>
  </si>
  <si>
    <t xml:space="preserve">Fire exit signage + emergency lighting</t>
  </si>
  <si>
    <t xml:space="preserve">Compliant exit lighting</t>
  </si>
  <si>
    <t xml:space="preserve">Fire safety audit + compliance cert</t>
  </si>
  <si>
    <t xml:space="preserve">County fire department inspection fee</t>
  </si>
  <si>
    <t xml:space="preserve">HACCP plan documentation (consultant)</t>
  </si>
  <si>
    <t xml:space="preserve">Formal HACCP plan — required for B2B + exports</t>
  </si>
  <si>
    <t xml:space="preserve">SUBTOTAL — Fire &amp; Safety</t>
  </si>
  <si>
    <t xml:space="preserve">★  HIVE KITCHEN GRAND TOTAL</t>
  </si>
  <si>
    <t xml:space="preserve">OUTLET 1 — Street / Shop Fit-Out Detailed Budget</t>
  </si>
  <si>
    <t xml:space="preserve">Sales front receiving from The Hive; serves walk-in + delivery (Glovo / Uber Eats / WhatsApp)</t>
  </si>
  <si>
    <t xml:space="preserve">A.  SPACE &amp; STRUCTURAL FIT-OUT</t>
  </si>
  <si>
    <t xml:space="preserve">Street-facing or mall kiosk; ~15-25sqm</t>
  </si>
  <si>
    <t xml:space="preserve">Counter fabrication (stainless + wood)</t>
  </si>
  <si>
    <t xml:space="preserve">L-shaped service counter; food-grade finish</t>
  </si>
  <si>
    <t xml:space="preserve">Back-bar shelving + display</t>
  </si>
  <si>
    <t xml:space="preserve">Display for packaged products</t>
  </si>
  <si>
    <t xml:space="preserve">Partitioning / back-of-house wall</t>
  </si>
  <si>
    <t xml:space="preserve">Separate prep from service</t>
  </si>
  <si>
    <t xml:space="preserve">Electrical installation (single phase)</t>
  </si>
  <si>
    <t xml:space="preserve">Sockets for equipment, POS, lighting</t>
  </si>
  <si>
    <t xml:space="preserve">Plumbing — handwash basin</t>
  </si>
  <si>
    <t xml:space="preserve">HACCP minimum at outlet</t>
  </si>
  <si>
    <t xml:space="preserve">Floor finish (epoxy or non-slip tile)</t>
  </si>
  <si>
    <t xml:space="preserve">Food-safe, easy mop</t>
  </si>
  <si>
    <t xml:space="preserve">Air conditioning (split unit, 1.5HP)</t>
  </si>
  <si>
    <t xml:space="preserve">Customer comfort; keeps food fresh</t>
  </si>
  <si>
    <t xml:space="preserve">Outdoor fascia signage (fabricated)</t>
  </si>
  <si>
    <t xml:space="preserve">Aluminium composite, lightbox; Vyyb brand</t>
  </si>
  <si>
    <t xml:space="preserve">Menu boards — backlit LED (2 panels)</t>
  </si>
  <si>
    <t xml:space="preserve">A1 size, full-colour print + frame</t>
  </si>
  <si>
    <t xml:space="preserve">Seating — 4-seater sets × 3</t>
  </si>
  <si>
    <t xml:space="preserve">Stools + counter bar seating</t>
  </si>
  <si>
    <t xml:space="preserve">CCTV — 2 cameras + DVR recorder</t>
  </si>
  <si>
    <t xml:space="preserve">Security; also monitors service quality</t>
  </si>
  <si>
    <t xml:space="preserve">Roller shutter / security grille</t>
  </si>
  <si>
    <t xml:space="preserve">Overnight security; reduces insurance cost</t>
  </si>
  <si>
    <t xml:space="preserve">SUBTOTAL — Space &amp; Structural</t>
  </si>
  <si>
    <t xml:space="preserve">B.  FOOD SERVICE EQUIPMENT</t>
  </si>
  <si>
    <t xml:space="preserve">Bain marie / hot food display (6-well)</t>
  </si>
  <si>
    <t xml:space="preserve">Holds batches from Hive at serve temp</t>
  </si>
  <si>
    <t xml:space="preserve">Cold display refrigerator (grab &amp; go)</t>
  </si>
  <si>
    <t xml:space="preserve">Chilled drinks, cold meals, yoghurts</t>
  </si>
  <si>
    <t xml:space="preserve">Heat lamp (2 bulb, over counter)</t>
  </si>
  <si>
    <t xml:space="preserve">Keeps plated food warm at pass</t>
  </si>
  <si>
    <t xml:space="preserve">Countertop microwave (commercial)</t>
  </si>
  <si>
    <t xml:space="preserve">Quick reheat for outlier items</t>
  </si>
  <si>
    <t xml:space="preserve">Blender (consumer-grade, for drinks)</t>
  </si>
  <si>
    <t xml:space="preserve">Smoothies / fresh juice at outlet</t>
  </si>
  <si>
    <t xml:space="preserve">Ice bucket + scoop set</t>
  </si>
  <si>
    <t xml:space="preserve">Cold drinks service</t>
  </si>
  <si>
    <t xml:space="preserve">Chafing dish set (3 units, buffet)</t>
  </si>
  <si>
    <t xml:space="preserve">Weekend buffet / office delivery</t>
  </si>
  <si>
    <t xml:space="preserve">Tabletop commercial fryer (3L, countertop gas)</t>
  </si>
  <si>
    <t xml:space="preserve">Tabletop gas burner × 2 (double-ring, heavy duty)</t>
  </si>
  <si>
    <t xml:space="preserve">Gas grill — 1m commercial (kuku choma / nyama choma)</t>
  </si>
  <si>
    <t xml:space="preserve">SUBTOTAL — Food Service Equipment</t>
  </si>
  <si>
    <t xml:space="preserve">C.  TECHNOLOGY &amp; POS</t>
  </si>
  <si>
    <t xml:space="preserve">POS system — Android tablet (10") + stand</t>
  </si>
  <si>
    <t xml:space="preserve">Vyyb OS interface; tillpoint</t>
  </si>
  <si>
    <t xml:space="preserve">Cash drawer (RJ11 connected to POS)</t>
  </si>
  <si>
    <t xml:space="preserve">Security; KES cash reconciliation</t>
  </si>
  <si>
    <t xml:space="preserve">Thermal receipt printer</t>
  </si>
  <si>
    <t xml:space="preserve">Star Micronics or Epson</t>
  </si>
  <si>
    <t xml:space="preserve">Card reader — PesaPal / Pesalink</t>
  </si>
  <si>
    <t xml:space="preserve">Card + M-Pesa Till linked</t>
  </si>
  <si>
    <t xml:space="preserve">KDS monitor (10" tablet, wall-mounted)</t>
  </si>
  <si>
    <t xml:space="preserve">Kitchen display for outlet orders</t>
  </si>
  <si>
    <t xml:space="preserve">Delivery tablet — Glovo + Uber Eats app</t>
  </si>
  <si>
    <t xml:space="preserve">Dedicated order mgmt screen</t>
  </si>
  <si>
    <t xml:space="preserve">WiFi router (commercial, dual-band)</t>
  </si>
  <si>
    <t xml:space="preserve">Stable connection for POS + delivery apps</t>
  </si>
  <si>
    <t xml:space="preserve">UPS backup (for POS + router)</t>
  </si>
  <si>
    <t xml:space="preserve">Prevents data loss during power outage</t>
  </si>
  <si>
    <t xml:space="preserve">Label printer (for delivery orders)</t>
  </si>
  <si>
    <t xml:space="preserve">Print customer name + order on bag</t>
  </si>
  <si>
    <t xml:space="preserve">Printer paper + card rolls (3 months)</t>
  </si>
  <si>
    <t xml:space="preserve">Thermal roll stock</t>
  </si>
  <si>
    <t xml:space="preserve">SUBTOTAL — Technology &amp; POS</t>
  </si>
  <si>
    <t xml:space="preserve">★  OUTLET 1 GRAND TOTAL</t>
  </si>
  <si>
    <t xml:space="preserve">D.  ROAMING CATERING SET  (events &amp; office vending)</t>
  </si>
  <si>
    <t xml:space="preserve">Folding stainless prep table (1.2m × 0.6m, collapsible)</t>
  </si>
  <si>
    <t xml:space="preserve">Portable double-ring gas burner × 2</t>
  </si>
  <si>
    <t xml:space="preserve">LPG cylinder 6kg (portable, catering size) × 2</t>
  </si>
  <si>
    <t xml:space="preserve">Chafing dish set — 6-well stainless (full-size)</t>
  </si>
  <si>
    <t xml:space="preserve">Bain marie — electric portable (4-well)</t>
  </si>
  <si>
    <t xml:space="preserve">Hotel pans / GN containers + lids (set of 12)</t>
  </si>
  <si>
    <t xml:space="preserve">Insulated food transport box (50L, rigid shell) × 2</t>
  </si>
  <si>
    <t xml:space="preserve">Pop-up gazebo / canopy tent (3×3m, branded Vyyb)</t>
  </si>
  <si>
    <t xml:space="preserve">Folding table (1.8m, event serving) × 2</t>
  </si>
  <si>
    <t xml:space="preserve">Branded tablecloths (fitted, Vyyb colours) × 4</t>
  </si>
  <si>
    <t xml:space="preserve">Portable handwash station (foot-pump, 20L tank)</t>
  </si>
  <si>
    <t xml:space="preserve">Extension cable + 6-way power strip (15m)</t>
  </si>
  <si>
    <t xml:space="preserve">Serving spoons, ladles, tongs — catering set</t>
  </si>
  <si>
    <t xml:space="preserve">Disposable serving gloves (box of 100) × 4</t>
  </si>
  <si>
    <t xml:space="preserve">SUBTOTAL — Roaming Catering Set</t>
  </si>
  <si>
    <t xml:space="preserve">E.  HIVE → OUTLET DELIVERY  (warm · cold · airtight boda boda set)</t>
  </si>
  <si>
    <t xml:space="preserve">Insulated rear boda boda box — warm (fibreglass, lockable, 60L) × 2</t>
  </si>
  <si>
    <t xml:space="preserve">Insulated rear boda boda box — cold (foam-lined, 40L, gel-pack slot) × 2</t>
  </si>
  <si>
    <t xml:space="preserve">Custom boda boda rear carrier rack/frame (welded, bolt-on) × 2</t>
  </si>
  <si>
    <t xml:space="preserve">Airtight GN food containers with clip lids (full set, 18 pcs)</t>
  </si>
  <si>
    <t xml:space="preserve">Reusable thermal delivery bags — large (branded, 45L) × 4</t>
  </si>
  <si>
    <t xml:space="preserve">Reusable thermal delivery bags — medium (branded, 25L) × 4</t>
  </si>
  <si>
    <t xml:space="preserve">Gel ice packs (reusable, 500g) × 12</t>
  </si>
  <si>
    <t xml:space="preserve">Food safety temp stickers / colour-change labels (roll 500)</t>
  </si>
  <si>
    <t xml:space="preserve">Padlock set (boda box security, keyed-alike) × 4</t>
  </si>
  <si>
    <t xml:space="preserve">Delivery manifest clipboard + docket book (3-copy NCR) × 3</t>
  </si>
  <si>
    <t xml:space="preserve">Strapping / bungee cord set (secure load) × 4</t>
  </si>
  <si>
    <t xml:space="preserve">Vyyb branded boda boda vest for rider × 2</t>
  </si>
  <si>
    <t xml:space="preserve">SUBTOTAL — Hive→Outlet Delivery Set</t>
  </si>
  <si>
    <t xml:space="preserve">TECHNOLOGY &amp; SYSTEMS — Hive + Outlets + Online Channels</t>
  </si>
  <si>
    <t xml:space="preserve">A.  HIVE KITCHEN TECHNOLOGY</t>
  </si>
  <si>
    <t xml:space="preserve">Commercial Android tablet (12") + case</t>
  </si>
  <si>
    <t xml:space="preserve">Main Vyyb OS dashboard at Hive</t>
  </si>
  <si>
    <t xml:space="preserve">KDS monitor (15", commercial display)</t>
  </si>
  <si>
    <t xml:space="preserve">Production batch display at Hive</t>
  </si>
  <si>
    <t xml:space="preserve">Label printer — Zebra ZD220 / Dymo</t>
  </si>
  <si>
    <t xml:space="preserve">Print batch labels + dispatch labels</t>
  </si>
  <si>
    <t xml:space="preserve">Thermal dispatch printer</t>
  </si>
  <si>
    <t xml:space="preserve">Packing slip per outlet/delivery</t>
  </si>
  <si>
    <t xml:space="preserve">Commercial WiFi router (Mikrotik)</t>
  </si>
  <si>
    <t xml:space="preserve">Stable, dual-WAN capable</t>
  </si>
  <si>
    <t xml:space="preserve">4G LTE backup router / SIM data</t>
  </si>
  <si>
    <t xml:space="preserve">Failover when fibre is down</t>
  </si>
  <si>
    <t xml:space="preserve">UPS (for tech equipment, 1000VA)</t>
  </si>
  <si>
    <t xml:space="preserve">30-min runtime; data protection</t>
  </si>
  <si>
    <t xml:space="preserve">NAS / local server (for Vyyb OS + backup)</t>
  </si>
  <si>
    <t xml:space="preserve">On-site backup; offline operation</t>
  </si>
  <si>
    <t xml:space="preserve">Vyyb OS setup + data migration (dev time)</t>
  </si>
  <si>
    <t xml:space="preserve">Bonnie's time to migrate old SQLite + configure</t>
  </si>
  <si>
    <t xml:space="preserve">SUBTOTAL — Hive Technology</t>
  </si>
  <si>
    <t xml:space="preserve">B.  ONLINE CHANNELS — SETUP COSTS</t>
  </si>
  <si>
    <t xml:space="preserve">WhatsApp Business API — Meta Cloud API</t>
  </si>
  <si>
    <t xml:space="preserve">Free to set up; costs per conversation (ongoing)</t>
  </si>
  <si>
    <t xml:space="preserve">Glovo — merchant onboarding</t>
  </si>
  <si>
    <t xml:space="preserve">Free to join; 25-30% commission per order ongoing</t>
  </si>
  <si>
    <t xml:space="preserve">Uber Eats — restaurant partner onboarding</t>
  </si>
  <si>
    <t xml:space="preserve">Free to join; 20-30% commission per order ongoing</t>
  </si>
  <si>
    <t xml:space="preserve">Photography for Glovo/Uber menus</t>
  </si>
  <si>
    <t xml:space="preserve">Professional food photography; 1-day shoot</t>
  </si>
  <si>
    <t xml:space="preserve">Menu design + digital asset creation</t>
  </si>
  <si>
    <t xml:space="preserve">Canva/designer; menu cards for all channels</t>
  </si>
  <si>
    <t xml:space="preserve">Delivery packaging — branded (1000 units)</t>
  </si>
  <si>
    <t xml:space="preserve">Custom printed boxes + bags with Vyyb branding</t>
  </si>
  <si>
    <t xml:space="preserve">Insulated delivery bags × 6</t>
  </si>
  <si>
    <t xml:space="preserve">Rider bags; maintain food temp</t>
  </si>
  <si>
    <t xml:space="preserve">Custom food sealing labels (1000 pcs)</t>
  </si>
  <si>
    <t xml:space="preserve">QR code + allergen info + Vyyb brand</t>
  </si>
  <si>
    <t xml:space="preserve">App listing on Google Play / Apple (if PWA)</t>
  </si>
  <si>
    <t xml:space="preserve">PWA via Vyyb OS — no app store fee</t>
  </si>
  <si>
    <t xml:space="preserve">Domain + hosting: vyyb.co.ke</t>
  </si>
  <si>
    <t xml:space="preserve">Annual domain + Cloudflare + hosting</t>
  </si>
  <si>
    <t xml:space="preserve">SUBTOTAL — Online Channel Setup</t>
  </si>
  <si>
    <t xml:space="preserve">C.  B2B CHANNEL SETUP</t>
  </si>
  <si>
    <t xml:space="preserve">B2B packaging — bulk containers (set)</t>
  </si>
  <si>
    <t xml:space="preserve">Foil trays, bulk bags, labels for office/hotel</t>
  </si>
  <si>
    <t xml:space="preserve">Thermal transport boxes × 4 (catering)</t>
  </si>
  <si>
    <t xml:space="preserve">Delivery to B2B clients; maintains 63°C+</t>
  </si>
  <si>
    <t xml:space="preserve">B2B menu / rate card (design + print)</t>
  </si>
  <si>
    <t xml:space="preserve">PDF digital + 100 printed copies</t>
  </si>
  <si>
    <t xml:space="preserve">Business cards (500 pcs)</t>
  </si>
  <si>
    <t xml:space="preserve">For client acquisition — events, chamas</t>
  </si>
  <si>
    <t xml:space="preserve">B2B tasting event — sample food cost</t>
  </si>
  <si>
    <t xml:space="preserve">Host 10 potential corporate clients for tasting</t>
  </si>
  <si>
    <t xml:space="preserve">SUBTOTAL — B2B Setup</t>
  </si>
  <si>
    <t xml:space="preserve">★  TECHNOLOGY &amp; CHANNELS GRAND TOTAL</t>
  </si>
  <si>
    <t xml:space="preserve">LICENSING, PERMITS &amp; COMPLIANCE</t>
  </si>
  <si>
    <t xml:space="preserve">NAIROBI COUNTY + NATIONAL GOVERNMENT REQUIREMENTS</t>
  </si>
  <si>
    <t xml:space="preserve">NCC Single Business Permit — Hive</t>
  </si>
  <si>
    <t xml:space="preserve">Annual. Based on business category + revenue tier</t>
  </si>
  <si>
    <t xml:space="preserve">NCC Single Business Permit — Outlet 1</t>
  </si>
  <si>
    <t xml:space="preserve">Annual. Per outlet location</t>
  </si>
  <si>
    <t xml:space="preserve">Food Safety + Hygiene Cert — Hive (MOH)</t>
  </si>
  <si>
    <t xml:space="preserve">County Public Health Officer inspection + cert</t>
  </si>
  <si>
    <t xml:space="preserve">Food Safety + Hygiene Cert — Outlet 1</t>
  </si>
  <si>
    <t xml:space="preserve">Per outlet; same Ministry of Health process</t>
  </si>
  <si>
    <t xml:space="preserve">Food handler certificates (per staff)</t>
  </si>
  <si>
    <t xml:space="preserve">Required for each person handling food</t>
  </si>
  <si>
    <t xml:space="preserve">Fire safety certificate — Hive</t>
  </si>
  <si>
    <t xml:space="preserve">County Fire &amp; Rescue; after suppression install</t>
  </si>
  <si>
    <t xml:space="preserve">Fire safety certificate — Outlet 1</t>
  </si>
  <si>
    <t xml:space="preserve">Simpler inspection for retail front</t>
  </si>
  <si>
    <t xml:space="preserve">NEMA compliance (if commissary has waste)</t>
  </si>
  <si>
    <t xml:space="preserve">Grease trap compliance + waste disposal plan</t>
  </si>
  <si>
    <t xml:space="preserve">KEBS certification (if packaged products)</t>
  </si>
  <si>
    <t xml:space="preserve">Required for sealed packaged food for retail</t>
  </si>
  <si>
    <t xml:space="preserve">KRA PIN certificate (Vyyb business)</t>
  </si>
  <si>
    <t xml:space="preserve">Free via iTax; required for invoicing + bank</t>
  </si>
  <si>
    <t xml:space="preserve">KRA VAT registration (once revenue &gt; 5M)</t>
  </si>
  <si>
    <t xml:space="preserve">Free; required when threshold hit</t>
  </si>
  <si>
    <t xml:space="preserve">Music license — MCSK (outlet)</t>
  </si>
  <si>
    <t xml:space="preserve">If playing music; annual MCSK fee</t>
  </si>
  <si>
    <t xml:space="preserve">Signage permit — NCC (outdoor sign)</t>
  </si>
  <si>
    <t xml:space="preserve">Required for any outdoor fascia</t>
  </si>
  <si>
    <t xml:space="preserve">KFSHS registration (food business)</t>
  </si>
  <si>
    <t xml:space="preserve">Kenya Food Safety and Health Services</t>
  </si>
  <si>
    <t xml:space="preserve">SUBTOTAL — All Licensing &amp; Compliance</t>
  </si>
  <si>
    <t xml:space="preserve">⚠  NOTE: All permits are annual. Budget renewal of ~KES 60,000–85,000/year for both locations combined.</t>
  </si>
  <si>
    <t xml:space="preserve">STAFFING PLAN — First 3 Months</t>
  </si>
  <si>
    <t xml:space="preserve">ROLE</t>
  </si>
  <si>
    <t xml:space="preserve">GROSS SALARY
(KES/mo)</t>
  </si>
  <si>
    <t xml:space="preserve"># STAFF</t>
  </si>
  <si>
    <t xml:space="preserve">MONTH 1</t>
  </si>
  <si>
    <t xml:space="preserve">MONTH 2</t>
  </si>
  <si>
    <t xml:space="preserve">MONTH 3</t>
  </si>
  <si>
    <t xml:space="preserve">THE HIVE — Production Kitchen</t>
  </si>
  <si>
    <t xml:space="preserve">Head Chef / Production Manager</t>
  </si>
  <si>
    <t xml:space="preserve">HACCP-trained; manages all batches + procurement</t>
  </si>
  <si>
    <t xml:space="preserve">Cook / Line Chef × 2</t>
  </si>
  <si>
    <t xml:space="preserve">Execute production schedule; one per shift</t>
  </si>
  <si>
    <t xml:space="preserve">Kitchen Assistant / Prep Cook</t>
  </si>
  <si>
    <t xml:space="preserve">Prep, cleaning, stocking</t>
  </si>
  <si>
    <t xml:space="preserve">Cleaner (part-time, 6 hrs/day)</t>
  </si>
  <si>
    <t xml:space="preserve">HACCP-grade cleaning schedule</t>
  </si>
  <si>
    <t xml:space="preserve">Logistics / Dispatch Coordinator</t>
  </si>
  <si>
    <t xml:space="preserve">Coordinates outlet transfers + delivery dispatch</t>
  </si>
  <si>
    <t xml:space="preserve">Hive Team Subtotal</t>
  </si>
  <si>
    <t xml:space="preserve">OUTLET 1 — Sales Front</t>
  </si>
  <si>
    <t xml:space="preserve">Outlet Manager / Team Lead</t>
  </si>
  <si>
    <t xml:space="preserve">Opens + closes; handles float + end-of-day</t>
  </si>
  <si>
    <t xml:space="preserve">Cashier / Server × 2</t>
  </si>
  <si>
    <t xml:space="preserve">Order taking + POS + serving</t>
  </si>
  <si>
    <t xml:space="preserve">Delivery Coordinator (Glovo/Uber)</t>
  </si>
  <si>
    <t xml:space="preserve">Manages delivery tablet + packing</t>
  </si>
  <si>
    <t xml:space="preserve">Outlet Team Subtotal</t>
  </si>
  <si>
    <t xml:space="preserve">TOTAL MONTHLY PAYROLL</t>
  </si>
  <si>
    <t xml:space="preserve">⚠  Employer NSSF + NHIF + PAYE obligations apply. Budget an additional 20% on gross for statutory contributions.</t>
  </si>
  <si>
    <t xml:space="preserve">WORKING CAPITAL — Month 1 Stock, Packaging, Utilities, Marketing</t>
  </si>
  <si>
    <t xml:space="preserve">A.  OPENING INVENTORY — RAW MATERIALS</t>
  </si>
  <si>
    <t xml:space="preserve">Proteins — beef / goat meat</t>
  </si>
  <si>
    <t xml:space="preserve">40kg opening stock; ~KES 350-380/kg</t>
  </si>
  <si>
    <t xml:space="preserve">Proteins — chicken (whole/pieces)</t>
  </si>
  <si>
    <t xml:space="preserve">30kg; fresh + frozen mix</t>
  </si>
  <si>
    <t xml:space="preserve">Proteins — fish (tilapia/omena)</t>
  </si>
  <si>
    <t xml:space="preserve">20kg; fresh tilapia + dried omena</t>
  </si>
  <si>
    <t xml:space="preserve">Ugali / maize flour (25kg bags)</t>
  </si>
  <si>
    <t xml:space="preserve">150kg = 6 bags</t>
  </si>
  <si>
    <t xml:space="preserve">Rice (25kg bags)</t>
  </si>
  <si>
    <t xml:space="preserve">100kg = 4 bags; Pishori or Mwea</t>
  </si>
  <si>
    <t xml:space="preserve">Chapati flour (wheat, 25kg bags)</t>
  </si>
  <si>
    <t xml:space="preserve">Varies by recipe volume</t>
  </si>
  <si>
    <t xml:space="preserve">Cooking oil (20L jerrican)</t>
  </si>
  <si>
    <t xml:space="preserve">Deep fry + cooking</t>
  </si>
  <si>
    <t xml:space="preserve">Vegetables (onions, tomatoes, cabbage)</t>
  </si>
  <si>
    <t xml:space="preserve">60kg daily fresh; source Marikiti/Mkulima</t>
  </si>
  <si>
    <t xml:space="preserve">Greens (sukuma wiki, spinach)</t>
  </si>
  <si>
    <t xml:space="preserve">Daily fresh; perishable</t>
  </si>
  <si>
    <t xml:space="preserve">Spices + dry goods (mixed set)</t>
  </si>
  <si>
    <t xml:space="preserve">Cumin, coriander, garlic powder etc.</t>
  </si>
  <si>
    <t xml:space="preserve">Salt, sugar, baking powder (bulk)</t>
  </si>
  <si>
    <t xml:space="preserve">Dry pantry staples</t>
  </si>
  <si>
    <t xml:space="preserve">Dairy — milk (litres)</t>
  </si>
  <si>
    <t xml:space="preserve">40L; tea, sauces, desserts</t>
  </si>
  <si>
    <t xml:space="preserve">Eggs (trays of 30)</t>
  </si>
  <si>
    <t xml:space="preserve">8 trays opening stock</t>
  </si>
  <si>
    <t xml:space="preserve">Beverages — sodas (crates × 10)</t>
  </si>
  <si>
    <t xml:space="preserve">Coke, Fanta, Sprite; customer purchase</t>
  </si>
  <si>
    <t xml:space="preserve">Beverages — water (5L × 24 pack)</t>
  </si>
  <si>
    <t xml:space="preserve">Drinking water stock</t>
  </si>
  <si>
    <t xml:space="preserve">Charcoal (50kg bags)</t>
  </si>
  <si>
    <t xml:space="preserve">If charcoal grill used</t>
  </si>
  <si>
    <t xml:space="preserve">LPG gas (13kg cylinders × 4)</t>
  </si>
  <si>
    <t xml:space="preserve">4 cylinders; Hive uses 2 daily at full speed</t>
  </si>
  <si>
    <t xml:space="preserve">SUBTOTAL — Opening Inventory</t>
  </si>
  <si>
    <t xml:space="preserve">B.  PACKAGING MATERIALS</t>
  </si>
  <si>
    <t xml:space="preserve">Biodegradable takeaway boxes (500ml)</t>
  </si>
  <si>
    <t xml:space="preserve">Single portion, secure lid</t>
  </si>
  <si>
    <t xml:space="preserve">Biodegradable takeaway boxes (1L)</t>
  </si>
  <si>
    <t xml:space="preserve">Double portion / family pack</t>
  </si>
  <si>
    <t xml:space="preserve">Paper bags (branded, medium)</t>
  </si>
  <si>
    <t xml:space="preserve">Carry bags for walk-in</t>
  </si>
  <si>
    <t xml:space="preserve">Kraft paper bags (large, for B2B)</t>
  </si>
  <si>
    <t xml:space="preserve">B2B bulk packing</t>
  </si>
  <si>
    <t xml:space="preserve">Foil containers (various sizes, 100 pcs)</t>
  </si>
  <si>
    <t xml:space="preserve">B2B catering + delivery</t>
  </si>
  <si>
    <t xml:space="preserve">Clear cling film (catering roll)</t>
  </si>
  <si>
    <t xml:space="preserve">Wrapping + prep protection</t>
  </si>
  <si>
    <t xml:space="preserve">Sealing labels — Vyyb brand (1000 pcs)</t>
  </si>
  <si>
    <t xml:space="preserve">QR + allergen + brand</t>
  </si>
  <si>
    <t xml:space="preserve">Napkins (pack of 500)</t>
  </si>
  <si>
    <t xml:space="preserve">Outlet customer service</t>
  </si>
  <si>
    <t xml:space="preserve">Cutlery sets (fork + spoon, 500 pcs)</t>
  </si>
  <si>
    <t xml:space="preserve">Delivery + B2B</t>
  </si>
  <si>
    <t xml:space="preserve">Sauce cups + lids (1 oz, 500 pcs)</t>
  </si>
  <si>
    <t xml:space="preserve">Condiments with orders</t>
  </si>
  <si>
    <t xml:space="preserve">Insulated delivery bags (reusable)</t>
  </si>
  <si>
    <t xml:space="preserve">Rider equipment</t>
  </si>
  <si>
    <t xml:space="preserve">SUBTOTAL — Packaging</t>
  </si>
  <si>
    <t xml:space="preserve">C.  UTILITIES — MONTH 1 COSTS + DEPOSITS</t>
  </si>
  <si>
    <t xml:space="preserve">Electricity — Hive (KPLC prepaid token)</t>
  </si>
  <si>
    <t xml:space="preserve">Heavy equipment; budget 15-25k/mo</t>
  </si>
  <si>
    <t xml:space="preserve">Electricity — Outlet 1</t>
  </si>
  <si>
    <t xml:space="preserve">Lighting, A/C, POS; budget 5-8k/mo</t>
  </si>
  <si>
    <t xml:space="preserve">Water (NWSC + tanker backup)</t>
  </si>
  <si>
    <t xml:space="preserve">Cleaning + cooking; high usage</t>
  </si>
  <si>
    <t xml:space="preserve">LPG gas — ongoing (beyond opening stock)</t>
  </si>
  <si>
    <t xml:space="preserve">Refills during the month</t>
  </si>
  <si>
    <t xml:space="preserve">Internet / fibre — Hive</t>
  </si>
  <si>
    <t xml:space="preserve">Safaricom Home Fibre or Zuku; includes router</t>
  </si>
  <si>
    <t xml:space="preserve">Internet — Outlet (4G backup SIM)</t>
  </si>
  <si>
    <t xml:space="preserve">Data SIM for POS + Glovo/Uber tablet</t>
  </si>
  <si>
    <t xml:space="preserve">KPLC meter deposit (if new connection)</t>
  </si>
  <si>
    <t xml:space="preserve">One-time; recoverable on exit</t>
  </si>
  <si>
    <t xml:space="preserve">Water connection deposit</t>
  </si>
  <si>
    <t xml:space="preserve">One-time; recoverable</t>
  </si>
  <si>
    <t xml:space="preserve">Waste disposal (council)</t>
  </si>
  <si>
    <t xml:space="preserve">Monthly waste collection fee</t>
  </si>
  <si>
    <t xml:space="preserve">Cleaning supplies (3-month stock)</t>
  </si>
  <si>
    <t xml:space="preserve">Dettol, bleach, gloves, mops, sanitiser</t>
  </si>
  <si>
    <t xml:space="preserve">SUBTOTAL — Utilities</t>
  </si>
  <si>
    <t xml:space="preserve">D.  MARKETING LAUNCH</t>
  </si>
  <si>
    <t xml:space="preserve">Professional food photography (1-day)</t>
  </si>
  <si>
    <t xml:space="preserve">Menu hero shots for all channels</t>
  </si>
  <si>
    <t xml:space="preserve">Launch event — food + décor + invite</t>
  </si>
  <si>
    <t xml:space="preserve">Invite 50 community members + B2B targets</t>
  </si>
  <si>
    <t xml:space="preserve">Social media content creation (3 months)</t>
  </si>
  <si>
    <t xml:space="preserve">Reels, stories, posts — 3-month content bank</t>
  </si>
  <si>
    <t xml:space="preserve">Food blogger / influencer collaboration</t>
  </si>
  <si>
    <t xml:space="preserve">3 micro-influencers at KES 10k each</t>
  </si>
  <si>
    <t xml:space="preserve">Flyers + A5 print (5000 pcs)</t>
  </si>
  <si>
    <t xml:space="preserve">Hyperlocal physical distribution</t>
  </si>
  <si>
    <t xml:space="preserve">WhatsApp broadcast setup + contacts</t>
  </si>
  <si>
    <t xml:space="preserve">Seed list 200+ contacts; bulk send</t>
  </si>
  <si>
    <t xml:space="preserve">Glovo / Uber promo credits (launch boost)</t>
  </si>
  <si>
    <t xml:space="preserve">Buy promotional visibility on apps at launch</t>
  </si>
  <si>
    <t xml:space="preserve">Google My Business + maps listing</t>
  </si>
  <si>
    <t xml:space="preserve">Free — but cost to set up photos + listing</t>
  </si>
  <si>
    <t xml:space="preserve">Branded staff uniforms (T-shirt + apron)</t>
  </si>
  <si>
    <t xml:space="preserve">Brand visibility in kitchen + outlet</t>
  </si>
  <si>
    <t xml:space="preserve">Launch PR / press release distribution</t>
  </si>
  <si>
    <t xml:space="preserve">Distribute to food media + blogs</t>
  </si>
  <si>
    <t xml:space="preserve">SUBTOTAL — Marketing Launch</t>
  </si>
  <si>
    <t xml:space="preserve">★  WORKING CAPITAL GRAND TOTAL</t>
  </si>
  <si>
    <t xml:space="preserve">3-MONTH P&amp;L FORECAST — VYYB (HIVE + OUTLET 1)</t>
  </si>
  <si>
    <t xml:space="preserve">Assumptions: STANDARD scenario · ~100 covers/day Walk-in · Glovo/Uber 30 orders/day · B2B 2×/week</t>
  </si>
  <si>
    <t xml:space="preserve">LINE ITEM</t>
  </si>
  <si>
    <t xml:space="preserve">MONTH 1 (KES)</t>
  </si>
  <si>
    <t xml:space="preserve">MONTH 2 (KES)</t>
  </si>
  <si>
    <t xml:space="preserve">MONTH 3 (KES)</t>
  </si>
  <si>
    <t xml:space="preserve">REVENUE</t>
  </si>
  <si>
    <t xml:space="preserve">  Walk-in / Outlet Sales</t>
  </si>
  <si>
    <t xml:space="preserve">~100 covers × avg KES 250 → grows as brand builds</t>
  </si>
  <si>
    <t xml:space="preserve">  Glovo / Uber Eats orders</t>
  </si>
  <si>
    <t xml:space="preserve">30/day → 60/day → 100/day at avg KES 500/order</t>
  </si>
  <si>
    <t xml:space="preserve">  WhatsApp / App direct orders</t>
  </si>
  <si>
    <t xml:space="preserve">Office orders, regulars, pre-orders via WhatsApp</t>
  </si>
  <si>
    <t xml:space="preserve">  B2B supply (corporate / events)</t>
  </si>
  <si>
    <t xml:space="preserve">2× weekly deliveries × avg KES 15,000 order</t>
  </si>
  <si>
    <t xml:space="preserve">TOTAL REVENUE</t>
  </si>
  <si>
    <t xml:space="preserve">COST OF GOODS SOLD (COGS)</t>
  </si>
  <si>
    <t xml:space="preserve">  Raw materials (food cost ~38%)</t>
  </si>
  <si>
    <t xml:space="preserve">Target food cost: 38% of revenue; lower with volume</t>
  </si>
  <si>
    <t xml:space="preserve">  Packaging</t>
  </si>
  <si>
    <t xml:space="preserve">Scales with order volume</t>
  </si>
  <si>
    <t xml:space="preserve">  Gas + charcoal</t>
  </si>
  <si>
    <t xml:space="preserve">LPG refills + charcoal</t>
  </si>
  <si>
    <t xml:space="preserve">  Delivery commission (Glovo/Uber)</t>
  </si>
  <si>
    <t xml:space="preserve">~25% of platform sales</t>
  </si>
  <si>
    <t xml:space="preserve">TOTAL COGS</t>
  </si>
  <si>
    <t xml:space="preserve">GROSS PROFIT</t>
  </si>
  <si>
    <t xml:space="preserve">OPERATING EXPENSES</t>
  </si>
  <si>
    <t xml:space="preserve">  Total payroll (Hive + Outlet)</t>
  </si>
  <si>
    <t xml:space="preserve">See Staffing sheet; includes NSSF/NHIF est</t>
  </si>
  <si>
    <t xml:space="preserve">  Rent — Hive</t>
  </si>
  <si>
    <t xml:space="preserve">Monthly after deposit used</t>
  </si>
  <si>
    <t xml:space="preserve">  Rent — Outlet 1</t>
  </si>
  <si>
    <t xml:space="preserve">Monthly after deposit</t>
  </si>
  <si>
    <t xml:space="preserve">  Electricity (both sites)</t>
  </si>
  <si>
    <t xml:space="preserve">Hive heavy; outlet lighter</t>
  </si>
  <si>
    <t xml:space="preserve">  Water + waste disposal</t>
  </si>
  <si>
    <t xml:space="preserve">Hive + outlet + waste collection</t>
  </si>
  <si>
    <t xml:space="preserve">  Internet + comms</t>
  </si>
  <si>
    <t xml:space="preserve">Fibre + 4G data</t>
  </si>
  <si>
    <t xml:space="preserve">  Equipment maintenance / repairs</t>
  </si>
  <si>
    <t xml:space="preserve">Pro-rated maintenance; buffer</t>
  </si>
  <si>
    <t xml:space="preserve">  Glovo/Uber platform fees (non-COGS)</t>
  </si>
  <si>
    <t xml:space="preserve">Tablet management, admin fees</t>
  </si>
  <si>
    <t xml:space="preserve">  Marketing (ongoing)</t>
  </si>
  <si>
    <t xml:space="preserve">Social content + promotions</t>
  </si>
  <si>
    <t xml:space="preserve">  Miscellaneous + contingency</t>
  </si>
  <si>
    <t xml:space="preserve">Unplanned small costs</t>
  </si>
  <si>
    <t xml:space="preserve">TOTAL OPERATING EXPENSES</t>
  </si>
  <si>
    <t xml:space="preserve">EBITDA (Operating Profit / Loss)</t>
  </si>
  <si>
    <t xml:space="preserve">Month 1 typically negative — fixed cost absorption period</t>
  </si>
  <si>
    <t xml:space="preserve">⚠  Forecast assumes STANDARD scenario. Adjust C/D/E inputs in blue to model your actual scenario.</t>
  </si>
  <si>
    <t xml:space="preserve">VYYB RECIPE INVENTORY — Opening Ingredient Stock Budget</t>
  </si>
  <si>
    <t xml:space="preserve">Derived from actual Vyyb recipes (products.txt, Recipes.md, CORE PRODUCTION SYSTEM.md). Blue = input. ASPIRATIONAL rows in orange — order when that item launches.</t>
  </si>
  <si>
    <t xml:space="preserve">INGREDIENT</t>
  </si>
  <si>
    <t xml:space="preserve">RECIPES USED IN</t>
  </si>
  <si>
    <t xml:space="preserve">UNIT</t>
  </si>
  <si>
    <t xml:space="preserve">DAILY USAGE
(units)</t>
  </si>
  <si>
    <t xml:space="preserve">DAYS STOCK
(opening)</t>
  </si>
  <si>
    <t xml:space="preserve">UNIT COST
(KES)</t>
  </si>
  <si>
    <t xml:space="preserve">OPENING
STOCK COST</t>
  </si>
  <si>
    <t xml:space="preserve">NOTES / PREP METHOD</t>
  </si>
  <si>
    <t xml:space="preserve">PROTEINS</t>
  </si>
  <si>
    <t xml:space="preserve">Chicken (whole, jointed)</t>
  </si>
  <si>
    <t xml:space="preserve">Offcut, Wing, Leg, Piece, Strip, Gizz Wrap; all combos</t>
  </si>
  <si>
    <t xml:space="preserve">kg</t>
  </si>
  <si>
    <t xml:space="preserve">Hub: marinate (salt,garlic,spice). Spoke: double-bread + deep fry at controlled temp</t>
  </si>
  <si>
    <t xml:space="preserve">Beef mince</t>
  </si>
  <si>
    <t xml:space="preserve">Hub: cook filling (onion+spice). Fill+fold. Spoke: fry till golden</t>
  </si>
  <si>
    <t xml:space="preserve">Beef (stewing cuts)</t>
  </si>
  <si>
    <t xml:space="preserve">Beef stew, Pilau Beef</t>
  </si>
  <si>
    <t xml:space="preserve">Hub: boil tender + master gravy simmer. Hold warm</t>
  </si>
  <si>
    <t xml:space="preserve">Hub: pre-boil. Spoke: fry or sauté to order</t>
  </si>
  <si>
    <t xml:space="preserve">Smokies (pack ~50 pcs)</t>
  </si>
  <si>
    <t xml:space="preserve">Smocha, Smokie Bun, solo Smokie</t>
  </si>
  <si>
    <t xml:space="preserve">pck</t>
  </si>
  <si>
    <t xml:space="preserve">Light boil or grill at spoke</t>
  </si>
  <si>
    <t xml:space="preserve">Eggs (tray 30)</t>
  </si>
  <si>
    <t xml:space="preserve">Mayocha, Mayai Bun, Fried Rice, solo Egg</t>
  </si>
  <si>
    <t xml:space="preserve">tray</t>
  </si>
  <si>
    <t xml:space="preserve">Boil or fry depending on use</t>
  </si>
  <si>
    <t xml:space="preserve">Tripe / Matumbo</t>
  </si>
  <si>
    <t xml:space="preserve">Matumbo (ASPIRATIONAL)</t>
  </si>
  <si>
    <t xml:space="preserve">Hub pre-boil. Order when ready to launch</t>
  </si>
  <si>
    <t xml:space="preserve">SUBTOTAL — PROTEINS</t>
  </si>
  <si>
    <t xml:space="preserve">STARCHES &amp; GRAINS</t>
  </si>
  <si>
    <t xml:space="preserve">Potatoes (frying grade)</t>
  </si>
  <si>
    <t xml:space="preserve">All Fries sizes, Viazi Karai, Potato Samosa</t>
  </si>
  <si>
    <t xml:space="preserve">Hub: pre-blanch. Spoke: deep fry to order. Salt immediately</t>
  </si>
  <si>
    <t xml:space="preserve">Rice, Fried Rice</t>
  </si>
  <si>
    <t xml:space="preserve">Boil/steam. Fluffy texture. Hub batch</t>
  </si>
  <si>
    <t xml:space="preserve">Basmati rice</t>
  </si>
  <si>
    <t xml:space="preserve">Pilau (hub batch 5kg cooked)</t>
  </si>
  <si>
    <t xml:space="preserve">Pilau: burn onions→spices→1kg beef→4L water→cook rice</t>
  </si>
  <si>
    <t xml:space="preserve">Maize flour (unga)</t>
  </si>
  <si>
    <t xml:space="preserve">Firm consistency. Hub prep</t>
  </si>
  <si>
    <t xml:space="preserve">Wheat flour</t>
  </si>
  <si>
    <t xml:space="preserve">Chapati 80g, Mandazi, Samosa dough, Buns</t>
  </si>
  <si>
    <t xml:space="preserve">Hub: all doughs. Spoke: finish heat</t>
  </si>
  <si>
    <t xml:space="preserve">Cassava / Mihogo</t>
  </si>
  <si>
    <t xml:space="preserve">Mihogo base, Uji Power blend</t>
  </si>
  <si>
    <t xml:space="preserve">Boil; optional fry finish. Uji Power: blend with nduma+groundnuts</t>
  </si>
  <si>
    <t xml:space="preserve">Arrowroot / Nduma</t>
  </si>
  <si>
    <t xml:space="preserve">Nduma base, Uji Power blend</t>
  </si>
  <si>
    <t xml:space="preserve">Boil</t>
  </si>
  <si>
    <t xml:space="preserve">Green banana / Matoke</t>
  </si>
  <si>
    <t xml:space="preserve">Matoke (ASPIRATIONAL)</t>
  </si>
  <si>
    <t xml:space="preserve">Hub cook in gravy. Order when menu goes live</t>
  </si>
  <si>
    <t xml:space="preserve">SUBTOTAL — STARCHES &amp; GRAINS</t>
  </si>
  <si>
    <t xml:space="preserve">FRESH PRODUCE</t>
  </si>
  <si>
    <t xml:space="preserve">Tomatoes</t>
  </si>
  <si>
    <t xml:space="preserve">Master Gravy (hub 10L batch), Kachumbari, Samosa filling</t>
  </si>
  <si>
    <t xml:space="preserve">Hub: 4kg per 10L gravy batch. Spoke: kachumbari daily</t>
  </si>
  <si>
    <t xml:space="preserve">Onions</t>
  </si>
  <si>
    <t xml:space="preserve">Master Gravy (3kg per batch), Pilau, Kachumbari, Samosa filling</t>
  </si>
  <si>
    <t xml:space="preserve">Hub: caramelize dark brown for gravy</t>
  </si>
  <si>
    <t xml:space="preserve">Garlic + ginger paste</t>
  </si>
  <si>
    <t xml:space="preserve">Master Gravy (300g per 10L), Chicken marinade</t>
  </si>
  <si>
    <t xml:space="preserve">Hub batch. Store chilled. 300g per gravy batch</t>
  </si>
  <si>
    <t xml:space="preserve">Coriander / Dhania</t>
  </si>
  <si>
    <t xml:space="preserve">Kachumbari, garnish</t>
  </si>
  <si>
    <t xml:space="preserve">bunch</t>
  </si>
  <si>
    <t xml:space="preserve">Wash + chop at hub daily</t>
  </si>
  <si>
    <t xml:space="preserve">Cabbage + carrot (salad)</t>
  </si>
  <si>
    <t xml:space="preserve">Salad (raw mix), Kachumbari</t>
  </si>
  <si>
    <t xml:space="preserve">Shred at hub. Store chilled. Daily prep</t>
  </si>
  <si>
    <t xml:space="preserve">Lemons / Limes</t>
  </si>
  <si>
    <t xml:space="preserve">Kachumbari, Mojito base</t>
  </si>
  <si>
    <t xml:space="preserve">pcs</t>
  </si>
  <si>
    <t xml:space="preserve">Fresh squeeze daily</t>
  </si>
  <si>
    <t xml:space="preserve">Fresh mint</t>
  </si>
  <si>
    <t xml:space="preserve">Mojito Base (hub 500ml squeeze bottle)</t>
  </si>
  <si>
    <t xml:space="preserve">Blend: mint+lime+ginger+sugar syrup. Store squeeze bottle</t>
  </si>
  <si>
    <t xml:space="preserve">Red chillies</t>
  </si>
  <si>
    <t xml:space="preserve">Vyyb Spicy Sauce (1L batch: 500g chilli+vinegar+tomato paste)</t>
  </si>
  <si>
    <t xml:space="preserve">Blend smooth → bottle. Hub 5L sauce batches</t>
  </si>
  <si>
    <t xml:space="preserve">SUBTOTAL — FRESH PRODUCE</t>
  </si>
  <si>
    <t xml:space="preserve">Dried beans (mixed)</t>
  </si>
  <si>
    <t xml:space="preserve">Beans, Mandazi Dondo (half ladle per combo)</t>
  </si>
  <si>
    <t xml:space="preserve">Hub boil + gravy simmer. Hold warm</t>
  </si>
  <si>
    <t xml:space="preserve">Green grams / Ndengu</t>
  </si>
  <si>
    <t xml:space="preserve">Ndengu (gravy+carrot+dhania)</t>
  </si>
  <si>
    <t xml:space="preserve">Hub boil. Combine with gravy</t>
  </si>
  <si>
    <t xml:space="preserve">Green peas / Minji</t>
  </si>
  <si>
    <t xml:space="preserve">Minji (gravy+carrot+potato cubes)</t>
  </si>
  <si>
    <t xml:space="preserve">Njahi (black beans)</t>
  </si>
  <si>
    <t xml:space="preserve">Njahi (ASPIRATIONAL — gravy+leeks+black pepper)</t>
  </si>
  <si>
    <t xml:space="preserve">Seasonal. Order when menu goes live</t>
  </si>
  <si>
    <t xml:space="preserve">Sukuma wiki / Greens</t>
  </si>
  <si>
    <t xml:space="preserve">Greens, stew sides</t>
  </si>
  <si>
    <t xml:space="preserve">Sauté at hub. Hold warm</t>
  </si>
  <si>
    <t xml:space="preserve">SUBTOTAL — LEGUMES &amp; STEWS</t>
  </si>
  <si>
    <t xml:space="preserve">OILS, SPICES &amp; DRY GOODS</t>
  </si>
  <si>
    <t xml:space="preserve">All frying: fries, chicken, samosas, viazi karai</t>
  </si>
  <si>
    <t xml:space="preserve">L</t>
  </si>
  <si>
    <t xml:space="preserve">Main consumable. Deep-fryer + tabletop fryer daily</t>
  </si>
  <si>
    <t xml:space="preserve">Pilau masala (whole spice blend)</t>
  </si>
  <si>
    <t xml:space="preserve">Pilau (hub 5kg cooked batch)</t>
  </si>
  <si>
    <t xml:space="preserve">Hub batch</t>
  </si>
  <si>
    <t xml:space="preserve">Spice blend (paprika, garlic pwd, garam, paprika)</t>
  </si>
  <si>
    <t xml:space="preserve">Chicken double-bread coat, samosa filling</t>
  </si>
  <si>
    <t xml:space="preserve">Dry coat. Hub prep</t>
  </si>
  <si>
    <t xml:space="preserve">Turmeric + chilli powder</t>
  </si>
  <si>
    <t xml:space="preserve">Viazi Karai batter + chilli finish</t>
  </si>
  <si>
    <t xml:space="preserve">Batter mix: turmeric+chilli+lemon</t>
  </si>
  <si>
    <t xml:space="preserve">Stock powder</t>
  </si>
  <si>
    <t xml:space="preserve">Master Gravy — 200g per 10L batch</t>
  </si>
  <si>
    <t xml:space="preserve">Hub sauce batches</t>
  </si>
  <si>
    <t xml:space="preserve">Tomato paste (500g tins)</t>
  </si>
  <si>
    <t xml:space="preserve">Master Gravy (500g per 10L), Spicy Sauce, Chilli Sauce</t>
  </si>
  <si>
    <t xml:space="preserve">tin</t>
  </si>
  <si>
    <t xml:space="preserve">Hub: multiple sauce batches</t>
  </si>
  <si>
    <t xml:space="preserve">Vinegar</t>
  </si>
  <si>
    <t xml:space="preserve">Vyyb Spicy Sauce (100ml per 1L), Chilli Sauce</t>
  </si>
  <si>
    <t xml:space="preserve">Garlic powder</t>
  </si>
  <si>
    <t xml:space="preserve">Garlic Sauce (5L hub batch), Spicy Sauce</t>
  </si>
  <si>
    <t xml:space="preserve">Salt</t>
  </si>
  <si>
    <t xml:space="preserve">Everything</t>
  </si>
  <si>
    <t xml:space="preserve">Sugar</t>
  </si>
  <si>
    <t xml:space="preserve">Chai, Uji Power, Mandazi dough, Mojito syrup</t>
  </si>
  <si>
    <t xml:space="preserve">SUBTOTAL — OILS, SPICES &amp; DRY GOODS</t>
  </si>
  <si>
    <t xml:space="preserve">DAIRY &amp; BEVERAGES</t>
  </si>
  <si>
    <t xml:space="preserve">Fresh whole milk</t>
  </si>
  <si>
    <t xml:space="preserve">Chai Small/Large, Uji Power</t>
  </si>
  <si>
    <t xml:space="preserve">Daily fresh delivery preferred</t>
  </si>
  <si>
    <t xml:space="preserve">Tea leaves (Kenya blend)</t>
  </si>
  <si>
    <t xml:space="preserve">Chai Small, Chai Large</t>
  </si>
  <si>
    <t xml:space="preserve">Nescafé instant (200g tin)</t>
  </si>
  <si>
    <t xml:space="preserve">Roasted groundnuts</t>
  </si>
  <si>
    <t xml:space="preserve">Uji Power (hub blend: mihogo+nduma+groundnuts+milk)</t>
  </si>
  <si>
    <t xml:space="preserve">Hub blend. Store concentrate</t>
  </si>
  <si>
    <t xml:space="preserve">Soda water (750ml)</t>
  </si>
  <si>
    <t xml:space="preserve">Mojito Small + Large (30ml base + ice + soda)</t>
  </si>
  <si>
    <t xml:space="preserve">btl</t>
  </si>
  <si>
    <t xml:space="preserve">PET cup. Mojito base pre-batched at hub</t>
  </si>
  <si>
    <t xml:space="preserve">Sugar syrup</t>
  </si>
  <si>
    <t xml:space="preserve">Mojito Base (hub batch 500ml), Smoothies (ASPIRATIONAL)</t>
  </si>
  <si>
    <t xml:space="preserve">Hub batch. Squeeze bottle dispensing</t>
  </si>
  <si>
    <t xml:space="preserve">Fresh fruit (passion/mango)</t>
  </si>
  <si>
    <t xml:space="preserve">Smoothie Small, Smoothie Large (ASPIRATIONAL)</t>
  </si>
  <si>
    <t xml:space="preserve">Order when smoothies launch. Blender required</t>
  </si>
  <si>
    <t xml:space="preserve">SUBTOTAL — DAIRY &amp; BEVERAGES</t>
  </si>
  <si>
    <t xml:space="preserve">CONDIMENTS (PURCHASED)</t>
  </si>
  <si>
    <t xml:space="preserve">Ketchup sachets (carton ~1000)</t>
  </si>
  <si>
    <t xml:space="preserve">Fries all sizes: 1 small / 2 medium / 3 large / handful buckets</t>
  </si>
  <si>
    <t xml:space="preserve">ctn</t>
  </si>
  <si>
    <t xml:space="preserve">Purchased bulk. FIFO stock rotation</t>
  </si>
  <si>
    <t xml:space="preserve">BBQ spice blend (dry rub)</t>
  </si>
  <si>
    <t xml:space="preserve">BBQ Rub (direct), BBQ Sauce 5L hub batch, BBQ Dip soufflé</t>
  </si>
  <si>
    <t xml:space="preserve">Hub sauce 5L batches. Squeeze bottles at station</t>
  </si>
  <si>
    <t xml:space="preserve">SUBTOTAL — CONDIMENTS (PURCHASED)</t>
  </si>
  <si>
    <t xml:space="preserve">★  TOTAL OPENING INGREDIENT STOCK (Active + Aspirational)</t>
  </si>
  <si>
    <t xml:space="preserve">⚠  Adjust Daily Usage and Days Stock (blue) to match your actual production schedule. ASPIRATIONAL rows (orange) — order when that item goes live.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</si>
</sst>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&quot;KES &quot;#,##0"/>
    <numFmt numFmtId="167" formatCode="#,##0"/>
    <numFmt numFmtId="168" formatCode="&quot;KES &quot;#,##0;&quot;(KES &quot;#,##0\)"/>
  </numFmts>
  <fonts count="5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E8A020"/>
      <name val="Arial"/>
      <family val="0"/>
      <charset val="1"/>
    </font>
    <font>
      <sz val="11"/>
      <color rgb="FFE8E4DC"/>
      <name val="Arial"/>
      <family val="0"/>
      <charset val="1"/>
    </font>
    <font>
      <sz val="9"/>
      <color rgb="FF888480"/>
      <name val="Arial"/>
      <family val="0"/>
      <charset val="1"/>
    </font>
    <font>
      <b val="true"/>
      <sz val="12"/>
      <color rgb="FFE8A020"/>
      <name val="Arial"/>
      <family val="0"/>
      <charset val="1"/>
    </font>
    <font>
      <b val="true"/>
      <sz val="9"/>
      <color rgb="FFE8E4D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E05050"/>
      <name val="Arial"/>
      <family val="0"/>
      <charset val="1"/>
    </font>
    <font>
      <b val="true"/>
      <sz val="12"/>
      <color rgb="FFE8E4DC"/>
      <name val="Arial"/>
      <family val="0"/>
      <charset val="1"/>
    </font>
    <font>
      <b val="true"/>
      <sz val="13"/>
      <color rgb="FFE8E4DC"/>
      <name val="Arial"/>
      <family val="0"/>
      <charset val="1"/>
    </font>
    <font>
      <b val="true"/>
      <sz val="10"/>
      <color rgb="FFE8A020"/>
      <name val="Arial"/>
      <family val="0"/>
      <charset val="1"/>
    </font>
    <font>
      <b val="true"/>
      <sz val="11"/>
      <color rgb="FFE8A020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E8A020"/>
      <name val="Calibri"/>
      <family val="0"/>
      <charset val="1"/>
    </font>
    <font>
      <sz val="8"/>
      <color rgb="FFAAAAA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E8A020"/>
      <name val="Calibri"/>
      <family val="0"/>
      <charset val="1"/>
    </font>
    <font>
      <sz val="9"/>
      <color rgb="FF212121"/>
      <name val="Calibri"/>
      <family val="0"/>
      <charset val="1"/>
    </font>
    <font>
      <b val="true"/>
      <sz val="9"/>
      <color rgb="FF2E7D32"/>
      <name val="Calibri"/>
      <family val="0"/>
      <charset val="1"/>
    </font>
    <font>
      <sz val="9"/>
      <color rgb="FF0000FF"/>
      <name val="Calibri"/>
      <family val="0"/>
      <charset val="1"/>
    </font>
    <font>
      <b val="true"/>
      <sz val="9"/>
      <color rgb="FFE65100"/>
      <name val="Calibri"/>
      <family val="0"/>
      <charset val="1"/>
    </font>
    <font>
      <b val="true"/>
      <sz val="15"/>
      <color rgb="FFE8A020"/>
      <name val="Arial"/>
      <family val="0"/>
      <charset val="1"/>
    </font>
    <font>
      <sz val="10"/>
      <color rgb="FFE8E4D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070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color rgb="FFE8E4DC"/>
      <name val="Arial"/>
      <family val="0"/>
      <charset val="1"/>
    </font>
    <font>
      <b val="true"/>
      <sz val="15"/>
      <color rgb="FF2AB8A0"/>
      <name val="Arial"/>
      <family val="0"/>
      <charset val="1"/>
    </font>
    <font>
      <i val="true"/>
      <sz val="9"/>
      <color rgb="FF8884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E8E4DC"/>
      <name val="Arial"/>
      <family val="0"/>
      <charset val="1"/>
    </font>
    <font>
      <b val="true"/>
      <sz val="10"/>
      <color rgb="FFE8E4DC"/>
      <name val="Arial"/>
      <family val="0"/>
      <charset val="1"/>
    </font>
    <font>
      <b val="true"/>
      <sz val="15"/>
      <color rgb="FF5090E0"/>
      <name val="Arial"/>
      <family val="0"/>
      <charset val="1"/>
    </font>
    <font>
      <b val="true"/>
      <sz val="15"/>
      <color rgb="FFE05050"/>
      <name val="Arial"/>
      <family val="0"/>
      <charset val="1"/>
    </font>
    <font>
      <i val="true"/>
      <sz val="9"/>
      <color rgb="FFE05050"/>
      <name val="Arial"/>
      <family val="0"/>
      <charset val="1"/>
    </font>
    <font>
      <b val="true"/>
      <sz val="10"/>
      <color rgb="FF2AB8A0"/>
      <name val="Arial"/>
      <family val="0"/>
      <charset val="1"/>
    </font>
    <font>
      <b val="true"/>
      <sz val="10"/>
      <color rgb="FF1E9E88"/>
      <name val="Arial"/>
      <family val="0"/>
      <charset val="1"/>
    </font>
    <font>
      <b val="true"/>
      <sz val="14"/>
      <color rgb="FFE8A020"/>
      <name val="Arial"/>
      <family val="0"/>
      <charset val="1"/>
    </font>
    <font>
      <i val="true"/>
      <sz val="9"/>
      <color rgb="FFE8E4DC"/>
      <name val="Arial"/>
      <family val="0"/>
      <charset val="1"/>
    </font>
    <font>
      <b val="true"/>
      <sz val="9"/>
      <color rgb="FF212121"/>
      <name val="Calibri"/>
      <family val="0"/>
      <charset val="1"/>
    </font>
    <font>
      <i val="true"/>
      <sz val="8"/>
      <color rgb="FF555555"/>
      <name val="Calibri"/>
      <family val="0"/>
      <charset val="1"/>
    </font>
    <font>
      <b val="true"/>
      <sz val="9"/>
      <color rgb="FF2AB8A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F0F0F"/>
        <bgColor rgb="FF181818"/>
      </patternFill>
    </fill>
    <fill>
      <patternFill patternType="solid">
        <fgColor rgb="FF2A2A2A"/>
        <bgColor rgb="FF212121"/>
      </patternFill>
    </fill>
    <fill>
      <patternFill patternType="solid">
        <fgColor rgb="FFFFFFFF"/>
        <bgColor rgb="FFFFF8F8"/>
      </patternFill>
    </fill>
    <fill>
      <patternFill patternType="solid">
        <fgColor rgb="FFF7F7F7"/>
        <bgColor rgb="FFF9F9F9"/>
      </patternFill>
    </fill>
    <fill>
      <patternFill patternType="solid">
        <fgColor rgb="FFFFF8F8"/>
        <bgColor rgb="FFF9F9F9"/>
      </patternFill>
    </fill>
    <fill>
      <patternFill patternType="solid">
        <fgColor rgb="FFC07010"/>
        <bgColor rgb="FFE65100"/>
      </patternFill>
    </fill>
    <fill>
      <patternFill patternType="solid">
        <fgColor rgb="FFFFF0CC"/>
        <bgColor rgb="FFFFF3E0"/>
      </patternFill>
    </fill>
    <fill>
      <patternFill patternType="solid">
        <fgColor rgb="FF1A1A1A"/>
        <bgColor rgb="FF181818"/>
      </patternFill>
    </fill>
    <fill>
      <patternFill patternType="solid">
        <fgColor rgb="FFE8F5E9"/>
        <bgColor rgb="FFF7F7F7"/>
      </patternFill>
    </fill>
    <fill>
      <patternFill patternType="solid">
        <fgColor rgb="FFFFF3E0"/>
        <bgColor rgb="FFFFF0CC"/>
      </patternFill>
    </fill>
    <fill>
      <patternFill patternType="solid">
        <fgColor rgb="FF181818"/>
        <bgColor rgb="FF1A1A1A"/>
      </patternFill>
    </fill>
    <fill>
      <patternFill patternType="solid">
        <fgColor rgb="FFF9F9F9"/>
        <bgColor rgb="FFF7F7F7"/>
      </patternFill>
    </fill>
    <fill>
      <patternFill patternType="solid">
        <fgColor rgb="FF1E9E88"/>
        <bgColor rgb="FF2AB8A0"/>
      </patternFill>
    </fill>
    <fill>
      <patternFill patternType="solid">
        <fgColor rgb="FF5090E0"/>
        <bgColor rgb="FF4CAF80"/>
      </patternFill>
    </fill>
    <fill>
      <patternFill patternType="solid">
        <fgColor rgb="FFD0F5EE"/>
        <bgColor rgb="FFE8F5E9"/>
      </patternFill>
    </fill>
    <fill>
      <patternFill patternType="solid">
        <fgColor rgb="FF4CAF80"/>
        <bgColor rgb="FF2AB8A0"/>
      </patternFill>
    </fill>
    <fill>
      <patternFill patternType="solid">
        <fgColor rgb="FFE05050"/>
        <bgColor rgb="FFE65100"/>
      </patternFill>
    </fill>
    <fill>
      <patternFill patternType="solid">
        <fgColor rgb="FF2AB8A0"/>
        <bgColor rgb="FF1E9E88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 diagonalUp="false" diagonalDown="false">
      <left/>
      <right/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3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3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3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3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5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7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7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7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0" fillId="1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9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7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5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1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1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F0F0F"/>
      <rgbColor rgb="FFC07010"/>
      <rgbColor rgb="FF800080"/>
      <rgbColor rgb="FF4CAF80"/>
      <rgbColor rgb="FFCCCCCC"/>
      <rgbColor rgb="FF888480"/>
      <rgbColor rgb="FFAAAAAA"/>
      <rgbColor rgb="FF993366"/>
      <rgbColor rgb="FFFFF3E0"/>
      <rgbColor rgb="FFD0F5EE"/>
      <rgbColor rgb="FF660066"/>
      <rgbColor rgb="FFE0505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E4DC"/>
      <rgbColor rgb="FFFFF0CC"/>
      <rgbColor rgb="FFF9F9F9"/>
      <rgbColor rgb="FFFFF8F8"/>
      <rgbColor rgb="FFCC99FF"/>
      <rgbColor rgb="FFF7F7F7"/>
      <rgbColor rgb="FF5090E0"/>
      <rgbColor rgb="FF2AB8A0"/>
      <rgbColor rgb="FF99CC00"/>
      <rgbColor rgb="FFFFCC00"/>
      <rgbColor rgb="FFE8A020"/>
      <rgbColor rgb="FFE65100"/>
      <rgbColor rgb="FF555555"/>
      <rgbColor rgb="FF888888"/>
      <rgbColor rgb="FF181818"/>
      <rgbColor rgb="FF1E9E88"/>
      <rgbColor rgb="FF1A1A1A"/>
      <rgbColor rgb="FF212121"/>
      <rgbColor rgb="FF993300"/>
      <rgbColor rgb="FF993366"/>
      <rgbColor rgb="FF33339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7" min="3" style="1" width="18"/>
    <col collapsed="false" customWidth="true" hidden="false" outlineLevel="0" max="8" min="8" style="1" width="4"/>
  </cols>
  <sheetData>
    <row r="1" customFormat="false" ht="39.75" hidden="false" customHeight="true" outlineLevel="0" collapsed="false">
      <c r="B1" s="2" t="s">
        <v>0</v>
      </c>
      <c r="C1" s="2"/>
      <c r="D1" s="2"/>
      <c r="E1" s="2"/>
      <c r="F1" s="2"/>
      <c r="G1" s="2"/>
    </row>
    <row r="2" customFormat="false" ht="21.75" hidden="false" customHeight="true" outlineLevel="0" collapsed="false">
      <c r="B2" s="3" t="s">
        <v>1</v>
      </c>
      <c r="C2" s="3"/>
      <c r="D2" s="3"/>
      <c r="E2" s="3"/>
      <c r="F2" s="3"/>
      <c r="G2" s="3"/>
    </row>
    <row r="3" customFormat="false" ht="18" hidden="false" customHeight="true" outlineLevel="0" collapsed="false">
      <c r="B3" s="4" t="s">
        <v>2</v>
      </c>
      <c r="C3" s="4"/>
      <c r="D3" s="4"/>
      <c r="E3" s="4"/>
      <c r="F3" s="4"/>
      <c r="G3" s="4"/>
    </row>
    <row r="4" customFormat="false" ht="7.5" hidden="false" customHeight="true" outlineLevel="0" collapsed="false"/>
    <row r="5" customFormat="false" ht="27.75" hidden="false" customHeight="true" outlineLevel="0" collapsed="false">
      <c r="B5" s="5" t="s">
        <v>3</v>
      </c>
      <c r="C5" s="5"/>
      <c r="D5" s="5"/>
      <c r="E5" s="5"/>
      <c r="F5" s="5"/>
      <c r="G5" s="5"/>
    </row>
    <row r="6" customFormat="false" ht="31.5" hidden="false" customHeight="true" outlineLevel="0" collapsed="false"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/>
    </row>
    <row r="7" customFormat="false" ht="19.5" hidden="false" customHeight="true" outlineLevel="0" collapsed="false">
      <c r="B7" s="7" t="s">
        <v>9</v>
      </c>
      <c r="C7" s="8" t="n">
        <v>350000</v>
      </c>
      <c r="D7" s="8" t="n">
        <v>575000</v>
      </c>
      <c r="E7" s="8" t="n">
        <v>825000</v>
      </c>
      <c r="F7" s="9" t="s">
        <v>10</v>
      </c>
    </row>
    <row r="8" customFormat="false" ht="19.5" hidden="false" customHeight="true" outlineLevel="0" collapsed="false">
      <c r="B8" s="10" t="s">
        <v>11</v>
      </c>
      <c r="C8" s="11" t="n">
        <v>185000</v>
      </c>
      <c r="D8" s="11" t="n">
        <v>280000</v>
      </c>
      <c r="E8" s="11" t="n">
        <v>425000</v>
      </c>
      <c r="F8" s="12" t="s">
        <v>12</v>
      </c>
    </row>
    <row r="9" customFormat="false" ht="19.5" hidden="false" customHeight="true" outlineLevel="0" collapsed="false">
      <c r="B9" s="7" t="s">
        <v>13</v>
      </c>
      <c r="C9" s="8" t="n">
        <v>160000</v>
      </c>
      <c r="D9" s="8" t="n">
        <v>240000</v>
      </c>
      <c r="E9" s="8" t="n">
        <v>365000</v>
      </c>
      <c r="F9" s="9" t="s">
        <v>14</v>
      </c>
    </row>
    <row r="10" customFormat="false" ht="19.5" hidden="false" customHeight="true" outlineLevel="0" collapsed="false">
      <c r="B10" s="10" t="s">
        <v>15</v>
      </c>
      <c r="C10" s="11" t="n">
        <v>82500</v>
      </c>
      <c r="D10" s="11" t="n">
        <v>142500</v>
      </c>
      <c r="E10" s="11" t="n">
        <v>210000</v>
      </c>
      <c r="F10" s="12" t="s">
        <v>16</v>
      </c>
    </row>
    <row r="11" customFormat="false" ht="19.5" hidden="false" customHeight="true" outlineLevel="0" collapsed="false">
      <c r="B11" s="7" t="s">
        <v>17</v>
      </c>
      <c r="C11" s="8" t="n">
        <v>50000</v>
      </c>
      <c r="D11" s="8" t="n">
        <v>67500</v>
      </c>
      <c r="E11" s="8" t="n">
        <v>85000</v>
      </c>
      <c r="F11" s="9" t="s">
        <v>18</v>
      </c>
    </row>
    <row r="12" customFormat="false" ht="19.5" hidden="false" customHeight="true" outlineLevel="0" collapsed="false">
      <c r="B12" s="10" t="s">
        <v>19</v>
      </c>
      <c r="C12" s="11" t="n">
        <v>30500</v>
      </c>
      <c r="D12" s="11" t="n">
        <v>42500</v>
      </c>
      <c r="E12" s="11" t="n">
        <v>57500</v>
      </c>
      <c r="F12" s="12" t="s">
        <v>20</v>
      </c>
    </row>
    <row r="13" customFormat="false" ht="19.5" hidden="false" customHeight="true" outlineLevel="0" collapsed="false">
      <c r="B13" s="7" t="s">
        <v>21</v>
      </c>
      <c r="C13" s="8" t="n">
        <v>177500</v>
      </c>
      <c r="D13" s="8" t="n">
        <v>240000</v>
      </c>
      <c r="E13" s="8" t="n">
        <v>315000</v>
      </c>
      <c r="F13" s="9" t="s">
        <v>22</v>
      </c>
    </row>
    <row r="14" customFormat="false" ht="19.5" hidden="false" customHeight="true" outlineLevel="0" collapsed="false">
      <c r="B14" s="10" t="s">
        <v>23</v>
      </c>
      <c r="C14" s="11" t="n">
        <v>110000</v>
      </c>
      <c r="D14" s="11" t="n">
        <v>170000</v>
      </c>
      <c r="E14" s="11" t="n">
        <v>240000</v>
      </c>
      <c r="F14" s="12" t="s">
        <v>24</v>
      </c>
    </row>
    <row r="15" customFormat="false" ht="19.5" hidden="false" customHeight="true" outlineLevel="0" collapsed="false">
      <c r="B15" s="7" t="s">
        <v>25</v>
      </c>
      <c r="C15" s="8" t="n">
        <v>29000</v>
      </c>
      <c r="D15" s="8" t="n">
        <v>42500</v>
      </c>
      <c r="E15" s="8" t="n">
        <v>60000</v>
      </c>
      <c r="F15" s="9" t="s">
        <v>26</v>
      </c>
    </row>
    <row r="16" customFormat="false" ht="19.5" hidden="false" customHeight="true" outlineLevel="0" collapsed="false">
      <c r="B16" s="10" t="s">
        <v>27</v>
      </c>
      <c r="C16" s="11" t="n">
        <v>33000</v>
      </c>
      <c r="D16" s="11" t="n">
        <v>45500</v>
      </c>
      <c r="E16" s="11" t="n">
        <v>60500</v>
      </c>
      <c r="F16" s="12" t="s">
        <v>28</v>
      </c>
    </row>
    <row r="17" customFormat="false" ht="19.5" hidden="false" customHeight="true" outlineLevel="0" collapsed="false">
      <c r="B17" s="7" t="s">
        <v>29</v>
      </c>
      <c r="C17" s="8" t="n">
        <v>40000</v>
      </c>
      <c r="D17" s="8" t="n">
        <v>65000</v>
      </c>
      <c r="E17" s="8" t="n">
        <v>105000</v>
      </c>
      <c r="F17" s="9" t="s">
        <v>30</v>
      </c>
    </row>
    <row r="18" customFormat="false" ht="19.5" hidden="false" customHeight="true" outlineLevel="0" collapsed="false">
      <c r="B18" s="13" t="s">
        <v>31</v>
      </c>
      <c r="C18" s="14" t="n">
        <f aca="false">ROUND(SUM(C7:C17)*0.1,0)</f>
        <v>124750</v>
      </c>
      <c r="D18" s="14" t="n">
        <f aca="false">ROUND(SUM(D7:D17)*0.1,0)</f>
        <v>191050</v>
      </c>
      <c r="E18" s="14" t="n">
        <f aca="false">ROUND(SUM(E7:E17)*0.1,0)</f>
        <v>274800</v>
      </c>
      <c r="F18" s="15" t="s">
        <v>32</v>
      </c>
    </row>
    <row r="19" customFormat="false" ht="31.5" hidden="false" customHeight="true" outlineLevel="0" collapsed="false">
      <c r="B19" s="16" t="s">
        <v>33</v>
      </c>
      <c r="C19" s="17" t="n">
        <f aca="false">SUM(C7:C18)</f>
        <v>1372250</v>
      </c>
      <c r="D19" s="17" t="n">
        <f aca="false">SUM(D7:D18)</f>
        <v>2101550</v>
      </c>
      <c r="E19" s="17" t="n">
        <f aca="false">SUM(E7:E18)</f>
        <v>3022800</v>
      </c>
      <c r="F19" s="18" t="s">
        <v>34</v>
      </c>
    </row>
    <row r="21" customFormat="false" ht="21.75" hidden="false" customHeight="true" outlineLevel="0" collapsed="false">
      <c r="B21" s="19" t="s">
        <v>35</v>
      </c>
    </row>
    <row r="22" customFormat="false" ht="36" hidden="false" customHeight="true" outlineLevel="0" collapsed="false">
      <c r="B22" s="20" t="s">
        <v>36</v>
      </c>
      <c r="C22" s="21" t="s">
        <v>37</v>
      </c>
      <c r="D22" s="21"/>
      <c r="E22" s="21"/>
      <c r="F22" s="21"/>
      <c r="G22" s="21"/>
    </row>
    <row r="23" customFormat="false" ht="36" hidden="false" customHeight="true" outlineLevel="0" collapsed="false">
      <c r="B23" s="20" t="s">
        <v>38</v>
      </c>
      <c r="C23" s="21" t="s">
        <v>39</v>
      </c>
      <c r="D23" s="21"/>
      <c r="E23" s="21"/>
      <c r="F23" s="21"/>
      <c r="G23" s="21"/>
    </row>
    <row r="24" customFormat="false" ht="36" hidden="false" customHeight="true" outlineLevel="0" collapsed="false">
      <c r="B24" s="20" t="s">
        <v>40</v>
      </c>
      <c r="C24" s="21" t="s">
        <v>41</v>
      </c>
      <c r="D24" s="21"/>
      <c r="E24" s="21"/>
      <c r="F24" s="21"/>
      <c r="G24" s="21"/>
    </row>
    <row r="26" customFormat="false" ht="15" hidden="false" customHeight="true" outlineLevel="0" collapsed="false">
      <c r="B26" s="22" t="s">
        <v>42</v>
      </c>
      <c r="C26" s="22"/>
      <c r="D26" s="22"/>
      <c r="E26" s="22"/>
      <c r="F26" s="22"/>
      <c r="G26" s="22"/>
    </row>
  </sheetData>
  <mergeCells count="8">
    <mergeCell ref="B1:G1"/>
    <mergeCell ref="B2:G2"/>
    <mergeCell ref="B3:G3"/>
    <mergeCell ref="B5:G5"/>
    <mergeCell ref="C22:G22"/>
    <mergeCell ref="C23:G23"/>
    <mergeCell ref="C24:G24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6" min="5" style="1" width="10"/>
    <col collapsed="false" customWidth="true" hidden="false" outlineLevel="0" max="7" min="7" style="1" width="9"/>
    <col collapsed="false" customWidth="true" hidden="false" outlineLevel="0" max="8" min="8" style="1" width="40"/>
    <col collapsed="false" customWidth="true" hidden="false" outlineLevel="0" max="9" min="9" style="1" width="28"/>
    <col collapsed="false" customWidth="true" hidden="false" outlineLevel="0" max="10" min="10" style="1" width="4"/>
  </cols>
  <sheetData>
    <row r="1" customFormat="false" ht="24" hidden="false" customHeight="true" outlineLevel="0" collapsed="false">
      <c r="B1" s="23" t="s">
        <v>43</v>
      </c>
      <c r="C1" s="23"/>
      <c r="D1" s="23"/>
      <c r="E1" s="23"/>
      <c r="F1" s="23"/>
      <c r="G1" s="23"/>
      <c r="H1" s="23"/>
      <c r="I1" s="23"/>
    </row>
    <row r="2" customFormat="false" ht="13.5" hidden="false" customHeight="true" outlineLevel="0" collapsed="false">
      <c r="B2" s="24" t="s">
        <v>44</v>
      </c>
      <c r="C2" s="24"/>
      <c r="D2" s="24"/>
      <c r="E2" s="24"/>
      <c r="F2" s="24"/>
      <c r="G2" s="24"/>
      <c r="H2" s="24"/>
      <c r="I2" s="24"/>
    </row>
    <row r="3" customFormat="false" ht="13.5" hidden="false" customHeight="true" outlineLevel="0" collapsed="false">
      <c r="B3" s="24" t="s">
        <v>45</v>
      </c>
      <c r="C3" s="24"/>
      <c r="D3" s="24"/>
      <c r="E3" s="24"/>
      <c r="F3" s="24"/>
      <c r="G3" s="24"/>
      <c r="H3" s="24"/>
      <c r="I3" s="24"/>
    </row>
    <row r="4" customFormat="false" ht="33.75" hidden="false" customHeight="true" outlineLevel="0" collapsed="false">
      <c r="B4" s="25" t="s">
        <v>46</v>
      </c>
      <c r="C4" s="25" t="s">
        <v>4</v>
      </c>
      <c r="D4" s="25" t="s">
        <v>47</v>
      </c>
      <c r="E4" s="25" t="s">
        <v>48</v>
      </c>
      <c r="F4" s="25" t="s">
        <v>49</v>
      </c>
      <c r="G4" s="25" t="s">
        <v>50</v>
      </c>
      <c r="H4" s="25" t="s">
        <v>51</v>
      </c>
      <c r="I4" s="25" t="s">
        <v>52</v>
      </c>
    </row>
    <row r="5" customFormat="false" ht="15" hidden="false" customHeight="true" outlineLevel="0" collapsed="false">
      <c r="B5" s="26" t="s">
        <v>53</v>
      </c>
      <c r="C5" s="26"/>
      <c r="D5" s="26"/>
      <c r="E5" s="26"/>
      <c r="F5" s="26"/>
      <c r="G5" s="26"/>
      <c r="H5" s="26"/>
      <c r="I5" s="26"/>
    </row>
    <row r="6" customFormat="false" ht="15" hidden="false" customHeight="true" outlineLevel="0" collapsed="false">
      <c r="B6" s="27" t="s">
        <v>54</v>
      </c>
      <c r="C6" s="27" t="s">
        <v>55</v>
      </c>
      <c r="D6" s="28" t="s">
        <v>56</v>
      </c>
      <c r="E6" s="29" t="n">
        <v>50</v>
      </c>
      <c r="F6" s="29" t="n">
        <v>10</v>
      </c>
      <c r="G6" s="29" t="s">
        <v>57</v>
      </c>
      <c r="H6" s="27" t="s">
        <v>58</v>
      </c>
      <c r="I6" s="27" t="s">
        <v>59</v>
      </c>
    </row>
    <row r="7" customFormat="false" ht="15" hidden="false" customHeight="true" outlineLevel="0" collapsed="false">
      <c r="B7" s="27" t="s">
        <v>60</v>
      </c>
      <c r="C7" s="27" t="s">
        <v>55</v>
      </c>
      <c r="D7" s="28" t="s">
        <v>56</v>
      </c>
      <c r="E7" s="29" t="n">
        <v>40</v>
      </c>
      <c r="F7" s="29" t="n">
        <v>15</v>
      </c>
      <c r="G7" s="29" t="s">
        <v>61</v>
      </c>
      <c r="H7" s="27" t="s">
        <v>62</v>
      </c>
      <c r="I7" s="27" t="s">
        <v>59</v>
      </c>
    </row>
    <row r="8" customFormat="false" ht="15" hidden="false" customHeight="true" outlineLevel="0" collapsed="false">
      <c r="B8" s="27" t="s">
        <v>63</v>
      </c>
      <c r="C8" s="27" t="s">
        <v>55</v>
      </c>
      <c r="D8" s="28" t="s">
        <v>56</v>
      </c>
      <c r="E8" s="29" t="n">
        <v>40</v>
      </c>
      <c r="F8" s="29" t="n">
        <v>30</v>
      </c>
      <c r="G8" s="29" t="s">
        <v>64</v>
      </c>
      <c r="H8" s="27" t="s">
        <v>65</v>
      </c>
      <c r="I8" s="27" t="s">
        <v>66</v>
      </c>
    </row>
    <row r="9" customFormat="false" ht="15" hidden="false" customHeight="true" outlineLevel="0" collapsed="false">
      <c r="B9" s="26" t="s">
        <v>67</v>
      </c>
      <c r="C9" s="26"/>
      <c r="D9" s="26"/>
      <c r="E9" s="26"/>
      <c r="F9" s="26"/>
      <c r="G9" s="26"/>
      <c r="H9" s="26"/>
      <c r="I9" s="26"/>
    </row>
    <row r="10" customFormat="false" ht="15" hidden="false" customHeight="true" outlineLevel="0" collapsed="false">
      <c r="B10" s="27" t="s">
        <v>68</v>
      </c>
      <c r="C10" s="27" t="s">
        <v>69</v>
      </c>
      <c r="D10" s="28" t="s">
        <v>56</v>
      </c>
      <c r="E10" s="29" t="n">
        <v>60</v>
      </c>
      <c r="F10" s="29" t="n">
        <v>70</v>
      </c>
      <c r="G10" s="29" t="s">
        <v>70</v>
      </c>
      <c r="H10" s="27" t="s">
        <v>71</v>
      </c>
      <c r="I10" s="27" t="s">
        <v>72</v>
      </c>
    </row>
    <row r="11" customFormat="false" ht="15" hidden="false" customHeight="true" outlineLevel="0" collapsed="false">
      <c r="B11" s="27" t="s">
        <v>73</v>
      </c>
      <c r="C11" s="27" t="s">
        <v>69</v>
      </c>
      <c r="D11" s="28" t="s">
        <v>56</v>
      </c>
      <c r="E11" s="29" t="n">
        <v>40</v>
      </c>
      <c r="F11" s="29" t="n">
        <v>100</v>
      </c>
      <c r="G11" s="29" t="s">
        <v>70</v>
      </c>
      <c r="H11" s="27" t="s">
        <v>71</v>
      </c>
      <c r="I11" s="27" t="s">
        <v>72</v>
      </c>
    </row>
    <row r="12" customFormat="false" ht="15" hidden="false" customHeight="true" outlineLevel="0" collapsed="false">
      <c r="B12" s="27" t="s">
        <v>74</v>
      </c>
      <c r="C12" s="27" t="s">
        <v>69</v>
      </c>
      <c r="D12" s="27" t="s">
        <v>56</v>
      </c>
      <c r="E12" s="27" t="n">
        <v>20</v>
      </c>
      <c r="F12" s="27" t="n">
        <v>150</v>
      </c>
      <c r="G12" s="27" t="s">
        <v>70</v>
      </c>
      <c r="H12" s="27" t="s">
        <v>75</v>
      </c>
      <c r="I12" s="27" t="s">
        <v>76</v>
      </c>
    </row>
    <row r="13" customFormat="false" ht="15" hidden="false" customHeight="true" outlineLevel="0" collapsed="false">
      <c r="B13" s="26" t="s">
        <v>77</v>
      </c>
      <c r="C13" s="26"/>
      <c r="D13" s="26"/>
      <c r="E13" s="26"/>
      <c r="F13" s="26"/>
      <c r="G13" s="26"/>
      <c r="H13" s="26"/>
      <c r="I13" s="26"/>
    </row>
    <row r="14" customFormat="false" ht="15" hidden="false" customHeight="true" outlineLevel="0" collapsed="false">
      <c r="B14" s="27" t="s">
        <v>78</v>
      </c>
      <c r="C14" s="27" t="s">
        <v>79</v>
      </c>
      <c r="D14" s="28" t="s">
        <v>56</v>
      </c>
      <c r="E14" s="29" t="n">
        <v>30</v>
      </c>
      <c r="F14" s="29" t="n">
        <v>20</v>
      </c>
      <c r="G14" s="29" t="s">
        <v>80</v>
      </c>
      <c r="H14" s="27" t="s">
        <v>81</v>
      </c>
      <c r="I14" s="27" t="s">
        <v>82</v>
      </c>
    </row>
    <row r="15" customFormat="false" ht="15" hidden="false" customHeight="true" outlineLevel="0" collapsed="false">
      <c r="B15" s="27" t="s">
        <v>83</v>
      </c>
      <c r="C15" s="27" t="s">
        <v>79</v>
      </c>
      <c r="D15" s="28" t="s">
        <v>56</v>
      </c>
      <c r="E15" s="29" t="n">
        <v>30</v>
      </c>
      <c r="F15" s="29" t="n">
        <v>10</v>
      </c>
      <c r="G15" s="29" t="s">
        <v>84</v>
      </c>
      <c r="H15" s="27" t="s">
        <v>85</v>
      </c>
      <c r="I15" s="27" t="s">
        <v>86</v>
      </c>
    </row>
    <row r="16" customFormat="false" ht="15" hidden="false" customHeight="true" outlineLevel="0" collapsed="false">
      <c r="B16" s="27" t="s">
        <v>87</v>
      </c>
      <c r="C16" s="27" t="s">
        <v>79</v>
      </c>
      <c r="D16" s="28" t="s">
        <v>56</v>
      </c>
      <c r="E16" s="29" t="n">
        <v>20</v>
      </c>
      <c r="F16" s="29" t="n">
        <v>100</v>
      </c>
      <c r="G16" s="29" t="s">
        <v>57</v>
      </c>
      <c r="H16" s="27" t="s">
        <v>88</v>
      </c>
      <c r="I16" s="27" t="s">
        <v>89</v>
      </c>
    </row>
    <row r="17" customFormat="false" ht="15" hidden="false" customHeight="true" outlineLevel="0" collapsed="false">
      <c r="B17" s="27" t="s">
        <v>90</v>
      </c>
      <c r="C17" s="27" t="s">
        <v>79</v>
      </c>
      <c r="D17" s="28" t="s">
        <v>56</v>
      </c>
      <c r="E17" s="29" t="n">
        <v>15</v>
      </c>
      <c r="F17" s="29" t="n">
        <v>70</v>
      </c>
      <c r="G17" s="29" t="s">
        <v>64</v>
      </c>
      <c r="H17" s="27" t="s">
        <v>91</v>
      </c>
      <c r="I17" s="27" t="s">
        <v>66</v>
      </c>
    </row>
    <row r="18" customFormat="false" ht="15" hidden="false" customHeight="true" outlineLevel="0" collapsed="false">
      <c r="B18" s="27" t="s">
        <v>92</v>
      </c>
      <c r="C18" s="27" t="s">
        <v>79</v>
      </c>
      <c r="D18" s="28" t="s">
        <v>56</v>
      </c>
      <c r="E18" s="29" t="n">
        <v>15</v>
      </c>
      <c r="F18" s="29" t="n">
        <v>20</v>
      </c>
      <c r="G18" s="29" t="s">
        <v>93</v>
      </c>
      <c r="H18" s="27" t="s">
        <v>94</v>
      </c>
      <c r="I18" s="27" t="s">
        <v>86</v>
      </c>
    </row>
    <row r="19" customFormat="false" ht="15" hidden="false" customHeight="true" outlineLevel="0" collapsed="false">
      <c r="B19" s="27" t="s">
        <v>95</v>
      </c>
      <c r="C19" s="27" t="s">
        <v>79</v>
      </c>
      <c r="D19" s="28" t="s">
        <v>56</v>
      </c>
      <c r="E19" s="29" t="n">
        <v>15</v>
      </c>
      <c r="F19" s="29" t="n">
        <v>20</v>
      </c>
      <c r="G19" s="29" t="s">
        <v>93</v>
      </c>
      <c r="H19" s="27" t="s">
        <v>96</v>
      </c>
      <c r="I19" s="27" t="s">
        <v>86</v>
      </c>
    </row>
    <row r="20" customFormat="false" ht="15" hidden="false" customHeight="true" outlineLevel="0" collapsed="false">
      <c r="B20" s="30" t="s">
        <v>97</v>
      </c>
      <c r="C20" s="30" t="s">
        <v>79</v>
      </c>
      <c r="D20" s="30" t="s">
        <v>98</v>
      </c>
      <c r="E20" s="30" t="n">
        <v>10</v>
      </c>
      <c r="F20" s="30" t="n">
        <v>70</v>
      </c>
      <c r="G20" s="30" t="s">
        <v>64</v>
      </c>
      <c r="H20" s="30" t="s">
        <v>99</v>
      </c>
      <c r="I20" s="30" t="s">
        <v>100</v>
      </c>
    </row>
    <row r="21" customFormat="false" ht="15" hidden="false" customHeight="true" outlineLevel="0" collapsed="false">
      <c r="B21" s="30" t="s">
        <v>101</v>
      </c>
      <c r="C21" s="30" t="s">
        <v>79</v>
      </c>
      <c r="D21" s="31" t="s">
        <v>98</v>
      </c>
      <c r="E21" s="32" t="n">
        <v>10</v>
      </c>
      <c r="F21" s="32" t="n">
        <v>60</v>
      </c>
      <c r="G21" s="32" t="s">
        <v>70</v>
      </c>
      <c r="H21" s="30" t="s">
        <v>102</v>
      </c>
      <c r="I21" s="30" t="s">
        <v>100</v>
      </c>
    </row>
    <row r="22" customFormat="false" ht="15" hidden="false" customHeight="true" outlineLevel="0" collapsed="false">
      <c r="B22" s="26" t="s">
        <v>103</v>
      </c>
      <c r="C22" s="26"/>
      <c r="D22" s="26"/>
      <c r="E22" s="26"/>
      <c r="F22" s="26"/>
      <c r="G22" s="26"/>
      <c r="H22" s="26"/>
      <c r="I22" s="26"/>
    </row>
    <row r="23" customFormat="false" ht="15" hidden="false" customHeight="true" outlineLevel="0" collapsed="false">
      <c r="B23" s="27" t="s">
        <v>104</v>
      </c>
      <c r="C23" s="27" t="s">
        <v>105</v>
      </c>
      <c r="D23" s="28" t="s">
        <v>56</v>
      </c>
      <c r="E23" s="29" t="n">
        <v>60</v>
      </c>
      <c r="F23" s="29" t="n">
        <v>20</v>
      </c>
      <c r="G23" s="29" t="s">
        <v>61</v>
      </c>
      <c r="H23" s="27" t="s">
        <v>106</v>
      </c>
      <c r="I23" s="27" t="s">
        <v>107</v>
      </c>
    </row>
    <row r="24" customFormat="false" ht="15" hidden="false" customHeight="true" outlineLevel="0" collapsed="false">
      <c r="B24" s="27" t="s">
        <v>108</v>
      </c>
      <c r="C24" s="27" t="s">
        <v>105</v>
      </c>
      <c r="D24" s="28" t="s">
        <v>56</v>
      </c>
      <c r="E24" s="29" t="n">
        <v>30</v>
      </c>
      <c r="F24" s="29" t="n">
        <v>50</v>
      </c>
      <c r="G24" s="29" t="s">
        <v>57</v>
      </c>
      <c r="H24" s="27" t="s">
        <v>109</v>
      </c>
      <c r="I24" s="27" t="s">
        <v>76</v>
      </c>
    </row>
    <row r="25" customFormat="false" ht="15" hidden="false" customHeight="true" outlineLevel="0" collapsed="false">
      <c r="B25" s="27" t="s">
        <v>110</v>
      </c>
      <c r="C25" s="27" t="s">
        <v>105</v>
      </c>
      <c r="D25" s="28" t="s">
        <v>56</v>
      </c>
      <c r="E25" s="29" t="n">
        <v>25</v>
      </c>
      <c r="F25" s="29" t="n">
        <v>70</v>
      </c>
      <c r="G25" s="29" t="s">
        <v>57</v>
      </c>
      <c r="H25" s="27" t="s">
        <v>111</v>
      </c>
      <c r="I25" s="27" t="s">
        <v>76</v>
      </c>
    </row>
    <row r="26" customFormat="false" ht="15" hidden="false" customHeight="true" outlineLevel="0" collapsed="false">
      <c r="B26" s="27" t="s">
        <v>112</v>
      </c>
      <c r="C26" s="27" t="s">
        <v>105</v>
      </c>
      <c r="D26" s="28" t="s">
        <v>56</v>
      </c>
      <c r="E26" s="29" t="n">
        <v>40</v>
      </c>
      <c r="F26" s="29" t="n">
        <v>100</v>
      </c>
      <c r="G26" s="29" t="s">
        <v>57</v>
      </c>
      <c r="H26" s="27" t="s">
        <v>113</v>
      </c>
      <c r="I26" s="27" t="s">
        <v>114</v>
      </c>
    </row>
    <row r="27" customFormat="false" ht="15" hidden="false" customHeight="true" outlineLevel="0" collapsed="false">
      <c r="B27" s="27" t="s">
        <v>115</v>
      </c>
      <c r="C27" s="27" t="s">
        <v>105</v>
      </c>
      <c r="D27" s="28" t="s">
        <v>56</v>
      </c>
      <c r="E27" s="29" t="n">
        <v>40</v>
      </c>
      <c r="F27" s="29" t="n">
        <v>50</v>
      </c>
      <c r="G27" s="29" t="s">
        <v>116</v>
      </c>
      <c r="H27" s="27" t="s">
        <v>117</v>
      </c>
      <c r="I27" s="27" t="s">
        <v>118</v>
      </c>
    </row>
    <row r="28" customFormat="false" ht="15" hidden="false" customHeight="true" outlineLevel="0" collapsed="false">
      <c r="B28" s="27" t="s">
        <v>119</v>
      </c>
      <c r="C28" s="27" t="s">
        <v>105</v>
      </c>
      <c r="D28" s="28" t="s">
        <v>56</v>
      </c>
      <c r="E28" s="29" t="n">
        <v>40</v>
      </c>
      <c r="F28" s="29" t="n">
        <v>40</v>
      </c>
      <c r="G28" s="29" t="s">
        <v>70</v>
      </c>
      <c r="H28" s="27" t="s">
        <v>120</v>
      </c>
      <c r="I28" s="27" t="s">
        <v>121</v>
      </c>
    </row>
    <row r="29" customFormat="false" ht="15" hidden="false" customHeight="true" outlineLevel="0" collapsed="false">
      <c r="B29" s="27" t="s">
        <v>122</v>
      </c>
      <c r="C29" s="27" t="s">
        <v>105</v>
      </c>
      <c r="D29" s="27" t="s">
        <v>56</v>
      </c>
      <c r="E29" s="27" t="n">
        <v>30</v>
      </c>
      <c r="F29" s="27" t="n">
        <v>30</v>
      </c>
      <c r="G29" s="27" t="s">
        <v>80</v>
      </c>
      <c r="H29" s="27" t="s">
        <v>123</v>
      </c>
      <c r="I29" s="27" t="s">
        <v>124</v>
      </c>
    </row>
    <row r="30" customFormat="false" ht="15" hidden="false" customHeight="true" outlineLevel="0" collapsed="false">
      <c r="B30" s="27" t="s">
        <v>125</v>
      </c>
      <c r="C30" s="27" t="s">
        <v>105</v>
      </c>
      <c r="D30" s="28" t="s">
        <v>56</v>
      </c>
      <c r="E30" s="29" t="n">
        <v>15</v>
      </c>
      <c r="F30" s="29" t="n">
        <v>70</v>
      </c>
      <c r="G30" s="29" t="s">
        <v>126</v>
      </c>
      <c r="H30" s="27" t="s">
        <v>127</v>
      </c>
      <c r="I30" s="27" t="s">
        <v>82</v>
      </c>
    </row>
    <row r="31" customFormat="false" ht="15" hidden="false" customHeight="true" outlineLevel="0" collapsed="false">
      <c r="B31" s="30" t="s">
        <v>128</v>
      </c>
      <c r="C31" s="30" t="s">
        <v>105</v>
      </c>
      <c r="D31" s="31" t="s">
        <v>98</v>
      </c>
      <c r="E31" s="32" t="n">
        <v>10</v>
      </c>
      <c r="F31" s="32" t="n">
        <v>60</v>
      </c>
      <c r="G31" s="32" t="s">
        <v>61</v>
      </c>
      <c r="H31" s="30" t="s">
        <v>129</v>
      </c>
      <c r="I31" s="30" t="s">
        <v>130</v>
      </c>
    </row>
    <row r="32" customFormat="false" ht="15" hidden="false" customHeight="true" outlineLevel="0" collapsed="false">
      <c r="B32" s="27" t="s">
        <v>131</v>
      </c>
      <c r="C32" s="27" t="s">
        <v>105</v>
      </c>
      <c r="D32" s="28" t="s">
        <v>56</v>
      </c>
      <c r="E32" s="29" t="n">
        <v>20</v>
      </c>
      <c r="F32" s="29" t="n">
        <v>0</v>
      </c>
      <c r="G32" s="29" t="s">
        <v>57</v>
      </c>
      <c r="H32" s="27" t="s">
        <v>132</v>
      </c>
      <c r="I32" s="27" t="s">
        <v>133</v>
      </c>
    </row>
    <row r="33" customFormat="false" ht="15" hidden="false" customHeight="true" outlineLevel="0" collapsed="false">
      <c r="B33" s="26" t="s">
        <v>134</v>
      </c>
      <c r="C33" s="26"/>
      <c r="D33" s="26"/>
      <c r="E33" s="26"/>
      <c r="F33" s="26"/>
      <c r="G33" s="26"/>
      <c r="H33" s="26"/>
      <c r="I33" s="26"/>
    </row>
    <row r="34" customFormat="false" ht="15" hidden="false" customHeight="true" outlineLevel="0" collapsed="false">
      <c r="B34" s="27" t="s">
        <v>135</v>
      </c>
      <c r="C34" s="27" t="s">
        <v>136</v>
      </c>
      <c r="D34" s="28" t="s">
        <v>56</v>
      </c>
      <c r="E34" s="29" t="n">
        <v>20</v>
      </c>
      <c r="F34" s="29" t="n">
        <v>40</v>
      </c>
      <c r="G34" s="29" t="s">
        <v>80</v>
      </c>
      <c r="H34" s="27" t="s">
        <v>137</v>
      </c>
      <c r="I34" s="27" t="s">
        <v>138</v>
      </c>
    </row>
    <row r="35" customFormat="false" ht="15" hidden="false" customHeight="true" outlineLevel="0" collapsed="false">
      <c r="B35" s="27" t="s">
        <v>139</v>
      </c>
      <c r="C35" s="27" t="s">
        <v>136</v>
      </c>
      <c r="D35" s="28" t="s">
        <v>56</v>
      </c>
      <c r="E35" s="29" t="n">
        <v>15</v>
      </c>
      <c r="F35" s="29" t="n">
        <v>50</v>
      </c>
      <c r="G35" s="29" t="s">
        <v>80</v>
      </c>
      <c r="H35" s="27" t="s">
        <v>140</v>
      </c>
      <c r="I35" s="27" t="s">
        <v>86</v>
      </c>
    </row>
    <row r="36" customFormat="false" ht="15" hidden="false" customHeight="true" outlineLevel="0" collapsed="false">
      <c r="B36" s="27" t="s">
        <v>141</v>
      </c>
      <c r="C36" s="27" t="s">
        <v>136</v>
      </c>
      <c r="D36" s="28" t="s">
        <v>56</v>
      </c>
      <c r="E36" s="29" t="n">
        <v>10</v>
      </c>
      <c r="F36" s="29" t="n">
        <v>60</v>
      </c>
      <c r="G36" s="29" t="s">
        <v>142</v>
      </c>
      <c r="H36" s="27" t="s">
        <v>143</v>
      </c>
      <c r="I36" s="27" t="s">
        <v>86</v>
      </c>
    </row>
    <row r="37" customFormat="false" ht="15" hidden="false" customHeight="true" outlineLevel="0" collapsed="false">
      <c r="B37" s="30" t="s">
        <v>144</v>
      </c>
      <c r="C37" s="30" t="s">
        <v>136</v>
      </c>
      <c r="D37" s="31" t="s">
        <v>98</v>
      </c>
      <c r="E37" s="32" t="n">
        <v>8</v>
      </c>
      <c r="F37" s="32" t="n">
        <v>50</v>
      </c>
      <c r="G37" s="32" t="s">
        <v>80</v>
      </c>
      <c r="H37" s="30" t="s">
        <v>145</v>
      </c>
      <c r="I37" s="30" t="s">
        <v>146</v>
      </c>
    </row>
    <row r="38" customFormat="false" ht="15" hidden="false" customHeight="true" outlineLevel="0" collapsed="false">
      <c r="B38" s="27" t="s">
        <v>147</v>
      </c>
      <c r="C38" s="27" t="s">
        <v>136</v>
      </c>
      <c r="D38" s="27" t="s">
        <v>56</v>
      </c>
      <c r="E38" s="27" t="n">
        <v>15</v>
      </c>
      <c r="F38" s="27" t="n">
        <v>30</v>
      </c>
      <c r="G38" s="27" t="s">
        <v>84</v>
      </c>
      <c r="H38" s="27" t="s">
        <v>148</v>
      </c>
      <c r="I38" s="27" t="s">
        <v>149</v>
      </c>
    </row>
    <row r="39" customFormat="false" ht="15" hidden="false" customHeight="true" outlineLevel="0" collapsed="false">
      <c r="B39" s="27" t="s">
        <v>150</v>
      </c>
      <c r="C39" s="27" t="s">
        <v>136</v>
      </c>
      <c r="D39" s="28" t="s">
        <v>56</v>
      </c>
      <c r="E39" s="29" t="n">
        <v>40</v>
      </c>
      <c r="F39" s="29" t="n">
        <v>10</v>
      </c>
      <c r="G39" s="29" t="s">
        <v>93</v>
      </c>
      <c r="H39" s="27" t="s">
        <v>151</v>
      </c>
      <c r="I39" s="27" t="s">
        <v>152</v>
      </c>
    </row>
    <row r="40" customFormat="false" ht="15" hidden="false" customHeight="true" outlineLevel="0" collapsed="false">
      <c r="B40" s="26" t="s">
        <v>153</v>
      </c>
      <c r="C40" s="26"/>
      <c r="D40" s="26"/>
      <c r="E40" s="26"/>
      <c r="F40" s="26"/>
      <c r="G40" s="26"/>
      <c r="H40" s="26"/>
      <c r="I40" s="26"/>
    </row>
    <row r="41" customFormat="false" ht="15" hidden="false" customHeight="true" outlineLevel="0" collapsed="false">
      <c r="B41" s="27" t="s">
        <v>154</v>
      </c>
      <c r="C41" s="27" t="s">
        <v>155</v>
      </c>
      <c r="D41" s="28" t="s">
        <v>56</v>
      </c>
      <c r="E41" s="29" t="n">
        <v>50</v>
      </c>
      <c r="F41" s="29" t="n">
        <v>20</v>
      </c>
      <c r="G41" s="29" t="s">
        <v>142</v>
      </c>
      <c r="H41" s="27" t="s">
        <v>156</v>
      </c>
      <c r="I41" s="27" t="s">
        <v>157</v>
      </c>
    </row>
    <row r="42" customFormat="false" ht="15" hidden="false" customHeight="true" outlineLevel="0" collapsed="false">
      <c r="B42" s="27" t="s">
        <v>158</v>
      </c>
      <c r="C42" s="27" t="s">
        <v>155</v>
      </c>
      <c r="D42" s="28" t="s">
        <v>56</v>
      </c>
      <c r="E42" s="29" t="n">
        <v>80</v>
      </c>
      <c r="F42" s="29" t="n">
        <v>5</v>
      </c>
      <c r="G42" s="29" t="s">
        <v>159</v>
      </c>
      <c r="H42" s="27" t="s">
        <v>160</v>
      </c>
      <c r="I42" s="27" t="s">
        <v>161</v>
      </c>
    </row>
    <row r="43" customFormat="false" ht="15" hidden="false" customHeight="true" outlineLevel="0" collapsed="false">
      <c r="B43" s="27" t="s">
        <v>162</v>
      </c>
      <c r="C43" s="27" t="s">
        <v>155</v>
      </c>
      <c r="D43" s="28" t="s">
        <v>56</v>
      </c>
      <c r="E43" s="29" t="n">
        <v>40</v>
      </c>
      <c r="F43" s="29" t="n">
        <v>5</v>
      </c>
      <c r="G43" s="29" t="s">
        <v>84</v>
      </c>
      <c r="H43" s="27" t="s">
        <v>163</v>
      </c>
      <c r="I43" s="27" t="s">
        <v>76</v>
      </c>
    </row>
    <row r="44" customFormat="false" ht="15" hidden="false" customHeight="true" outlineLevel="0" collapsed="false">
      <c r="B44" s="27" t="s">
        <v>164</v>
      </c>
      <c r="C44" s="27" t="s">
        <v>155</v>
      </c>
      <c r="D44" s="28" t="s">
        <v>56</v>
      </c>
      <c r="E44" s="29" t="n">
        <v>35</v>
      </c>
      <c r="F44" s="29" t="n">
        <v>5</v>
      </c>
      <c r="G44" s="29" t="s">
        <v>84</v>
      </c>
      <c r="H44" s="27" t="s">
        <v>165</v>
      </c>
      <c r="I44" s="27" t="s">
        <v>76</v>
      </c>
    </row>
    <row r="45" customFormat="false" ht="15" hidden="false" customHeight="true" outlineLevel="0" collapsed="false">
      <c r="B45" s="27" t="s">
        <v>166</v>
      </c>
      <c r="C45" s="27" t="s">
        <v>155</v>
      </c>
      <c r="D45" s="28" t="s">
        <v>56</v>
      </c>
      <c r="E45" s="29" t="n">
        <v>35</v>
      </c>
      <c r="F45" s="29" t="n">
        <v>5</v>
      </c>
      <c r="G45" s="29" t="s">
        <v>93</v>
      </c>
      <c r="H45" s="27" t="s">
        <v>167</v>
      </c>
      <c r="I45" s="27" t="s">
        <v>168</v>
      </c>
    </row>
    <row r="46" customFormat="false" ht="15" hidden="false" customHeight="true" outlineLevel="0" collapsed="false">
      <c r="B46" s="27" t="s">
        <v>169</v>
      </c>
      <c r="C46" s="27" t="s">
        <v>155</v>
      </c>
      <c r="D46" s="27" t="s">
        <v>56</v>
      </c>
      <c r="E46" s="27" t="n">
        <v>30</v>
      </c>
      <c r="F46" s="27" t="n">
        <v>5</v>
      </c>
      <c r="G46" s="27" t="s">
        <v>93</v>
      </c>
      <c r="H46" s="27" t="s">
        <v>170</v>
      </c>
      <c r="I46" s="27" t="s">
        <v>76</v>
      </c>
    </row>
    <row r="47" customFormat="false" ht="15" hidden="false" customHeight="true" outlineLevel="0" collapsed="false">
      <c r="B47" s="27" t="s">
        <v>171</v>
      </c>
      <c r="C47" s="27" t="s">
        <v>155</v>
      </c>
      <c r="D47" s="28" t="s">
        <v>56</v>
      </c>
      <c r="E47" s="29" t="n">
        <v>20</v>
      </c>
      <c r="F47" s="29" t="n">
        <v>3</v>
      </c>
      <c r="G47" s="29" t="s">
        <v>159</v>
      </c>
      <c r="H47" s="27" t="s">
        <v>172</v>
      </c>
      <c r="I47" s="27" t="s">
        <v>173</v>
      </c>
    </row>
    <row r="48" customFormat="false" ht="15" hidden="false" customHeight="true" outlineLevel="0" collapsed="false">
      <c r="B48" s="27" t="s">
        <v>174</v>
      </c>
      <c r="C48" s="27" t="s">
        <v>155</v>
      </c>
      <c r="D48" s="28" t="s">
        <v>56</v>
      </c>
      <c r="E48" s="29" t="n">
        <v>30</v>
      </c>
      <c r="F48" s="29" t="n">
        <v>10</v>
      </c>
      <c r="G48" s="29" t="s">
        <v>84</v>
      </c>
      <c r="H48" s="27" t="s">
        <v>175</v>
      </c>
      <c r="I48" s="27" t="s">
        <v>176</v>
      </c>
    </row>
    <row r="49" customFormat="false" ht="15" hidden="false" customHeight="true" outlineLevel="0" collapsed="false">
      <c r="B49" s="27" t="s">
        <v>177</v>
      </c>
      <c r="C49" s="27" t="s">
        <v>155</v>
      </c>
      <c r="D49" s="28" t="s">
        <v>56</v>
      </c>
      <c r="E49" s="29" t="n">
        <v>30</v>
      </c>
      <c r="F49" s="29" t="n">
        <v>10</v>
      </c>
      <c r="G49" s="29" t="s">
        <v>84</v>
      </c>
      <c r="H49" s="27" t="s">
        <v>178</v>
      </c>
      <c r="I49" s="27" t="s">
        <v>176</v>
      </c>
    </row>
    <row r="50" customFormat="false" ht="15" hidden="false" customHeight="true" outlineLevel="0" collapsed="false">
      <c r="B50" s="27" t="s">
        <v>179</v>
      </c>
      <c r="C50" s="27" t="s">
        <v>155</v>
      </c>
      <c r="D50" s="28" t="s">
        <v>56</v>
      </c>
      <c r="E50" s="29" t="n">
        <v>30</v>
      </c>
      <c r="F50" s="29" t="n">
        <v>10</v>
      </c>
      <c r="G50" s="29" t="s">
        <v>93</v>
      </c>
      <c r="H50" s="27" t="s">
        <v>180</v>
      </c>
      <c r="I50" s="27" t="s">
        <v>176</v>
      </c>
    </row>
    <row r="51" customFormat="false" ht="15" hidden="false" customHeight="true" outlineLevel="0" collapsed="false">
      <c r="B51" s="27" t="s">
        <v>181</v>
      </c>
      <c r="C51" s="27" t="s">
        <v>155</v>
      </c>
      <c r="D51" s="28" t="s">
        <v>56</v>
      </c>
      <c r="E51" s="29" t="n">
        <v>25</v>
      </c>
      <c r="F51" s="29" t="n">
        <v>10</v>
      </c>
      <c r="G51" s="29" t="s">
        <v>93</v>
      </c>
      <c r="H51" s="27" t="s">
        <v>182</v>
      </c>
      <c r="I51" s="27" t="s">
        <v>176</v>
      </c>
    </row>
    <row r="52" customFormat="false" ht="15" hidden="false" customHeight="true" outlineLevel="0" collapsed="false">
      <c r="B52" s="27" t="s">
        <v>183</v>
      </c>
      <c r="C52" s="27" t="s">
        <v>155</v>
      </c>
      <c r="D52" s="28" t="s">
        <v>56</v>
      </c>
      <c r="E52" s="29" t="n">
        <v>50</v>
      </c>
      <c r="F52" s="29" t="n">
        <v>5</v>
      </c>
      <c r="G52" s="29" t="s">
        <v>184</v>
      </c>
      <c r="H52" s="27" t="s">
        <v>185</v>
      </c>
      <c r="I52" s="27" t="s">
        <v>186</v>
      </c>
    </row>
    <row r="53" customFormat="false" ht="15" hidden="false" customHeight="true" outlineLevel="0" collapsed="false">
      <c r="B53" s="26" t="s">
        <v>187</v>
      </c>
      <c r="C53" s="26"/>
      <c r="D53" s="26"/>
      <c r="E53" s="26"/>
      <c r="F53" s="26"/>
      <c r="G53" s="26"/>
      <c r="H53" s="26"/>
      <c r="I53" s="26"/>
    </row>
    <row r="54" customFormat="false" ht="15" hidden="false" customHeight="true" outlineLevel="0" collapsed="false">
      <c r="B54" s="27" t="s">
        <v>188</v>
      </c>
      <c r="C54" s="27" t="s">
        <v>189</v>
      </c>
      <c r="D54" s="28" t="s">
        <v>56</v>
      </c>
      <c r="E54" s="29" t="n">
        <v>25</v>
      </c>
      <c r="F54" s="29" t="n">
        <v>50</v>
      </c>
      <c r="G54" s="29" t="s">
        <v>70</v>
      </c>
      <c r="H54" s="27" t="s">
        <v>190</v>
      </c>
      <c r="I54" s="27" t="s">
        <v>191</v>
      </c>
    </row>
    <row r="55" customFormat="false" ht="15" hidden="false" customHeight="true" outlineLevel="0" collapsed="false">
      <c r="B55" s="27" t="s">
        <v>192</v>
      </c>
      <c r="C55" s="27" t="s">
        <v>189</v>
      </c>
      <c r="D55" s="27" t="s">
        <v>56</v>
      </c>
      <c r="E55" s="27" t="n">
        <v>15</v>
      </c>
      <c r="F55" s="27" t="n">
        <v>70</v>
      </c>
      <c r="G55" s="27" t="s">
        <v>70</v>
      </c>
      <c r="H55" s="27" t="s">
        <v>193</v>
      </c>
      <c r="I55" s="27" t="s">
        <v>191</v>
      </c>
    </row>
    <row r="56" customFormat="false" ht="15" hidden="false" customHeight="true" outlineLevel="0" collapsed="false">
      <c r="B56" s="26" t="s">
        <v>194</v>
      </c>
      <c r="C56" s="26"/>
      <c r="D56" s="26"/>
      <c r="E56" s="26"/>
      <c r="F56" s="26"/>
      <c r="G56" s="26"/>
      <c r="H56" s="26"/>
      <c r="I56" s="26"/>
    </row>
    <row r="57" customFormat="false" ht="15" hidden="false" customHeight="true" outlineLevel="0" collapsed="false">
      <c r="B57" s="27" t="s">
        <v>195</v>
      </c>
      <c r="C57" s="27" t="s">
        <v>196</v>
      </c>
      <c r="D57" s="27" t="s">
        <v>56</v>
      </c>
      <c r="E57" s="27" t="n">
        <v>30</v>
      </c>
      <c r="F57" s="27" t="n">
        <v>60</v>
      </c>
      <c r="G57" s="27" t="s">
        <v>64</v>
      </c>
      <c r="H57" s="27" t="s">
        <v>197</v>
      </c>
      <c r="I57" s="27" t="s">
        <v>198</v>
      </c>
    </row>
    <row r="58" customFormat="false" ht="15" hidden="false" customHeight="true" outlineLevel="0" collapsed="false">
      <c r="B58" s="27" t="s">
        <v>199</v>
      </c>
      <c r="C58" s="27" t="s">
        <v>196</v>
      </c>
      <c r="D58" s="27" t="s">
        <v>56</v>
      </c>
      <c r="E58" s="27" t="n">
        <v>25</v>
      </c>
      <c r="F58" s="27" t="n">
        <v>50</v>
      </c>
      <c r="G58" s="27" t="s">
        <v>70</v>
      </c>
      <c r="H58" s="27" t="s">
        <v>200</v>
      </c>
      <c r="I58" s="27" t="s">
        <v>198</v>
      </c>
    </row>
    <row r="59" customFormat="false" ht="15" hidden="false" customHeight="true" outlineLevel="0" collapsed="false">
      <c r="B59" s="27" t="s">
        <v>201</v>
      </c>
      <c r="C59" s="27" t="s">
        <v>196</v>
      </c>
      <c r="D59" s="27" t="s">
        <v>56</v>
      </c>
      <c r="E59" s="27" t="n">
        <v>20</v>
      </c>
      <c r="F59" s="27" t="n">
        <v>70</v>
      </c>
      <c r="G59" s="27" t="s">
        <v>57</v>
      </c>
      <c r="H59" s="27" t="s">
        <v>202</v>
      </c>
      <c r="I59" s="27" t="s">
        <v>203</v>
      </c>
    </row>
    <row r="60" customFormat="false" ht="15" hidden="false" customHeight="true" outlineLevel="0" collapsed="false">
      <c r="B60" s="27" t="s">
        <v>204</v>
      </c>
      <c r="C60" s="27" t="s">
        <v>196</v>
      </c>
      <c r="D60" s="28" t="s">
        <v>56</v>
      </c>
      <c r="E60" s="29" t="n">
        <v>20</v>
      </c>
      <c r="F60" s="29" t="n">
        <v>120</v>
      </c>
      <c r="G60" s="29" t="s">
        <v>57</v>
      </c>
      <c r="H60" s="27" t="s">
        <v>205</v>
      </c>
      <c r="I60" s="27" t="s">
        <v>76</v>
      </c>
    </row>
    <row r="61" customFormat="false" ht="15" hidden="false" customHeight="true" outlineLevel="0" collapsed="false">
      <c r="B61" s="27" t="s">
        <v>206</v>
      </c>
      <c r="C61" s="27" t="s">
        <v>196</v>
      </c>
      <c r="D61" s="27" t="s">
        <v>56</v>
      </c>
      <c r="E61" s="27" t="n">
        <v>20</v>
      </c>
      <c r="F61" s="27" t="n">
        <v>60</v>
      </c>
      <c r="G61" s="27" t="s">
        <v>70</v>
      </c>
      <c r="H61" s="27" t="s">
        <v>207</v>
      </c>
      <c r="I61" s="27" t="s">
        <v>208</v>
      </c>
    </row>
    <row r="62" customFormat="false" ht="15" hidden="false" customHeight="true" outlineLevel="0" collapsed="false">
      <c r="B62" s="27" t="s">
        <v>209</v>
      </c>
      <c r="C62" s="27" t="s">
        <v>196</v>
      </c>
      <c r="D62" s="28" t="s">
        <v>56</v>
      </c>
      <c r="E62" s="29" t="n">
        <v>20</v>
      </c>
      <c r="F62" s="29" t="n">
        <v>40</v>
      </c>
      <c r="G62" s="29" t="s">
        <v>142</v>
      </c>
      <c r="H62" s="27" t="s">
        <v>210</v>
      </c>
      <c r="I62" s="27" t="s">
        <v>211</v>
      </c>
    </row>
    <row r="63" customFormat="false" ht="15" hidden="false" customHeight="true" outlineLevel="0" collapsed="false">
      <c r="B63" s="27" t="s">
        <v>212</v>
      </c>
      <c r="C63" s="27" t="s">
        <v>196</v>
      </c>
      <c r="D63" s="28" t="s">
        <v>56</v>
      </c>
      <c r="E63" s="29" t="n">
        <v>20</v>
      </c>
      <c r="F63" s="29" t="n">
        <v>50</v>
      </c>
      <c r="G63" s="29" t="s">
        <v>70</v>
      </c>
      <c r="H63" s="27" t="s">
        <v>213</v>
      </c>
      <c r="I63" s="27" t="s">
        <v>211</v>
      </c>
    </row>
    <row r="64" customFormat="false" ht="15" hidden="false" customHeight="true" outlineLevel="0" collapsed="false">
      <c r="B64" s="26" t="s">
        <v>214</v>
      </c>
      <c r="C64" s="26"/>
      <c r="D64" s="26"/>
      <c r="E64" s="26"/>
      <c r="F64" s="26"/>
      <c r="G64" s="26"/>
      <c r="H64" s="26"/>
      <c r="I64" s="26"/>
    </row>
    <row r="65" customFormat="false" ht="15" hidden="false" customHeight="true" outlineLevel="0" collapsed="false">
      <c r="B65" s="27" t="s">
        <v>215</v>
      </c>
      <c r="C65" s="27" t="s">
        <v>216</v>
      </c>
      <c r="D65" s="28" t="s">
        <v>56</v>
      </c>
      <c r="E65" s="29" t="n">
        <v>20</v>
      </c>
      <c r="F65" s="29" t="n">
        <v>140</v>
      </c>
      <c r="G65" s="29" t="s">
        <v>57</v>
      </c>
      <c r="H65" s="27" t="s">
        <v>217</v>
      </c>
      <c r="I65" s="27" t="s">
        <v>218</v>
      </c>
    </row>
    <row r="66" customFormat="false" ht="15" hidden="false" customHeight="true" outlineLevel="0" collapsed="false">
      <c r="B66" s="27" t="s">
        <v>219</v>
      </c>
      <c r="C66" s="27" t="s">
        <v>216</v>
      </c>
      <c r="D66" s="28" t="s">
        <v>56</v>
      </c>
      <c r="E66" s="29" t="n">
        <v>15</v>
      </c>
      <c r="F66" s="29" t="n">
        <v>290</v>
      </c>
      <c r="G66" s="29" t="s">
        <v>61</v>
      </c>
      <c r="H66" s="27" t="s">
        <v>220</v>
      </c>
      <c r="I66" s="27" t="s">
        <v>76</v>
      </c>
    </row>
    <row r="67" customFormat="false" ht="15" hidden="false" customHeight="true" outlineLevel="0" collapsed="false">
      <c r="B67" s="27" t="s">
        <v>221</v>
      </c>
      <c r="C67" s="27" t="s">
        <v>216</v>
      </c>
      <c r="D67" s="28" t="s">
        <v>56</v>
      </c>
      <c r="E67" s="29" t="n">
        <v>20</v>
      </c>
      <c r="F67" s="29" t="n">
        <v>150</v>
      </c>
      <c r="G67" s="29" t="s">
        <v>57</v>
      </c>
      <c r="H67" s="27" t="s">
        <v>222</v>
      </c>
      <c r="I67" s="27" t="s">
        <v>82</v>
      </c>
    </row>
    <row r="68" customFormat="false" ht="15" hidden="false" customHeight="true" outlineLevel="0" collapsed="false">
      <c r="B68" s="27" t="s">
        <v>223</v>
      </c>
      <c r="C68" s="27" t="s">
        <v>216</v>
      </c>
      <c r="D68" s="28" t="s">
        <v>56</v>
      </c>
      <c r="E68" s="29" t="n">
        <v>15</v>
      </c>
      <c r="F68" s="29" t="n">
        <v>80</v>
      </c>
      <c r="G68" s="29" t="s">
        <v>61</v>
      </c>
      <c r="H68" s="27" t="s">
        <v>224</v>
      </c>
      <c r="I68" s="27" t="s">
        <v>203</v>
      </c>
    </row>
    <row r="69" customFormat="false" ht="15" hidden="false" customHeight="true" outlineLevel="0" collapsed="false">
      <c r="B69" s="27" t="s">
        <v>225</v>
      </c>
      <c r="C69" s="27" t="s">
        <v>216</v>
      </c>
      <c r="D69" s="28" t="s">
        <v>56</v>
      </c>
      <c r="E69" s="29" t="n">
        <v>20</v>
      </c>
      <c r="F69" s="29" t="n">
        <v>150</v>
      </c>
      <c r="G69" s="29" t="s">
        <v>61</v>
      </c>
      <c r="H69" s="27" t="s">
        <v>226</v>
      </c>
      <c r="I69" s="27" t="s">
        <v>72</v>
      </c>
    </row>
    <row r="70" customFormat="false" ht="15" hidden="false" customHeight="true" outlineLevel="0" collapsed="false">
      <c r="B70" s="27" t="s">
        <v>227</v>
      </c>
      <c r="C70" s="27" t="s">
        <v>216</v>
      </c>
      <c r="D70" s="28" t="s">
        <v>56</v>
      </c>
      <c r="E70" s="29" t="n">
        <v>15</v>
      </c>
      <c r="F70" s="29" t="n">
        <v>250</v>
      </c>
      <c r="G70" s="29" t="s">
        <v>61</v>
      </c>
      <c r="H70" s="27" t="s">
        <v>228</v>
      </c>
      <c r="I70" s="27" t="s">
        <v>72</v>
      </c>
    </row>
    <row r="71" customFormat="false" ht="15" hidden="false" customHeight="true" outlineLevel="0" collapsed="false">
      <c r="B71" s="27" t="s">
        <v>229</v>
      </c>
      <c r="C71" s="27" t="s">
        <v>216</v>
      </c>
      <c r="D71" s="28" t="s">
        <v>56</v>
      </c>
      <c r="E71" s="29" t="n">
        <v>10</v>
      </c>
      <c r="F71" s="29" t="n">
        <v>280</v>
      </c>
      <c r="G71" s="29" t="s">
        <v>61</v>
      </c>
      <c r="H71" s="27" t="s">
        <v>230</v>
      </c>
      <c r="I71" s="27" t="s">
        <v>231</v>
      </c>
    </row>
    <row r="72" customFormat="false" ht="15" hidden="false" customHeight="true" outlineLevel="0" collapsed="false">
      <c r="B72" s="26" t="s">
        <v>232</v>
      </c>
      <c r="C72" s="26"/>
      <c r="D72" s="26"/>
      <c r="E72" s="26"/>
      <c r="F72" s="26"/>
      <c r="G72" s="26"/>
      <c r="H72" s="26"/>
      <c r="I72" s="26"/>
    </row>
    <row r="73" customFormat="false" ht="15" hidden="false" customHeight="true" outlineLevel="0" collapsed="false">
      <c r="B73" s="27" t="s">
        <v>233</v>
      </c>
      <c r="C73" s="27" t="s">
        <v>234</v>
      </c>
      <c r="D73" s="28" t="s">
        <v>56</v>
      </c>
      <c r="E73" s="29" t="n">
        <v>10</v>
      </c>
      <c r="F73" s="29" t="n">
        <v>210</v>
      </c>
      <c r="G73" s="29" t="s">
        <v>61</v>
      </c>
      <c r="H73" s="27" t="s">
        <v>235</v>
      </c>
      <c r="I73" s="27" t="s">
        <v>218</v>
      </c>
    </row>
    <row r="74" customFormat="false" ht="15" hidden="false" customHeight="true" outlineLevel="0" collapsed="false">
      <c r="B74" s="27" t="s">
        <v>236</v>
      </c>
      <c r="C74" s="27" t="s">
        <v>234</v>
      </c>
      <c r="D74" s="28" t="s">
        <v>56</v>
      </c>
      <c r="E74" s="29" t="n">
        <v>10</v>
      </c>
      <c r="F74" s="29" t="n">
        <v>280</v>
      </c>
      <c r="G74" s="29" t="s">
        <v>61</v>
      </c>
      <c r="H74" s="27" t="s">
        <v>237</v>
      </c>
      <c r="I74" s="27" t="s">
        <v>76</v>
      </c>
    </row>
    <row r="75" customFormat="false" ht="15" hidden="false" customHeight="true" outlineLevel="0" collapsed="false">
      <c r="B75" s="27" t="s">
        <v>238</v>
      </c>
      <c r="C75" s="27" t="s">
        <v>234</v>
      </c>
      <c r="D75" s="28" t="s">
        <v>56</v>
      </c>
      <c r="E75" s="29" t="n">
        <v>8</v>
      </c>
      <c r="F75" s="29" t="n">
        <v>360</v>
      </c>
      <c r="G75" s="29" t="s">
        <v>61</v>
      </c>
      <c r="H75" s="27" t="s">
        <v>239</v>
      </c>
      <c r="I75" s="27" t="s">
        <v>240</v>
      </c>
    </row>
    <row r="76" customFormat="false" ht="15" hidden="false" customHeight="true" outlineLevel="0" collapsed="false">
      <c r="B76" s="27" t="s">
        <v>241</v>
      </c>
      <c r="C76" s="27" t="s">
        <v>234</v>
      </c>
      <c r="D76" s="28" t="s">
        <v>56</v>
      </c>
      <c r="E76" s="29" t="n">
        <v>5</v>
      </c>
      <c r="F76" s="29" t="n">
        <v>440</v>
      </c>
      <c r="G76" s="29" t="s">
        <v>61</v>
      </c>
      <c r="H76" s="27" t="s">
        <v>242</v>
      </c>
      <c r="I76" s="27" t="s">
        <v>243</v>
      </c>
    </row>
    <row r="77" customFormat="false" ht="15" hidden="false" customHeight="true" outlineLevel="0" collapsed="false">
      <c r="B77" s="26" t="s">
        <v>244</v>
      </c>
      <c r="C77" s="26"/>
      <c r="D77" s="26"/>
      <c r="E77" s="26"/>
      <c r="F77" s="26"/>
      <c r="G77" s="26"/>
      <c r="H77" s="26"/>
      <c r="I77" s="26"/>
    </row>
    <row r="78" customFormat="false" ht="15" hidden="false" customHeight="true" outlineLevel="0" collapsed="false">
      <c r="B78" s="30" t="s">
        <v>245</v>
      </c>
      <c r="C78" s="30" t="s">
        <v>246</v>
      </c>
      <c r="D78" s="31" t="s">
        <v>98</v>
      </c>
      <c r="E78" s="32" t="n">
        <v>5</v>
      </c>
      <c r="F78" s="32" t="n">
        <v>800</v>
      </c>
      <c r="G78" s="32" t="s">
        <v>57</v>
      </c>
      <c r="H78" s="30" t="s">
        <v>247</v>
      </c>
      <c r="I78" s="30" t="s">
        <v>248</v>
      </c>
    </row>
    <row r="79" customFormat="false" ht="15" hidden="false" customHeight="true" outlineLevel="0" collapsed="false">
      <c r="B79" s="30" t="s">
        <v>249</v>
      </c>
      <c r="C79" s="30" t="s">
        <v>246</v>
      </c>
      <c r="D79" s="31" t="s">
        <v>98</v>
      </c>
      <c r="E79" s="32" t="n">
        <v>3</v>
      </c>
      <c r="F79" s="32" t="n">
        <v>1000</v>
      </c>
      <c r="G79" s="32" t="s">
        <v>57</v>
      </c>
      <c r="H79" s="30" t="s">
        <v>250</v>
      </c>
      <c r="I79" s="30" t="s">
        <v>251</v>
      </c>
    </row>
    <row r="80" customFormat="false" ht="15" hidden="false" customHeight="true" outlineLevel="0" collapsed="false">
      <c r="B80" s="30" t="s">
        <v>252</v>
      </c>
      <c r="C80" s="30" t="s">
        <v>246</v>
      </c>
      <c r="D80" s="31" t="s">
        <v>98</v>
      </c>
      <c r="E80" s="32" t="n">
        <v>2</v>
      </c>
      <c r="F80" s="32" t="n">
        <v>1700</v>
      </c>
      <c r="G80" s="32" t="s">
        <v>57</v>
      </c>
      <c r="H80" s="30" t="s">
        <v>253</v>
      </c>
      <c r="I80" s="30" t="s">
        <v>254</v>
      </c>
    </row>
    <row r="81" customFormat="false" ht="15" hidden="false" customHeight="true" outlineLevel="0" collapsed="false">
      <c r="B81" s="26" t="s">
        <v>255</v>
      </c>
      <c r="C81" s="26"/>
      <c r="D81" s="26"/>
      <c r="E81" s="26"/>
      <c r="F81" s="26"/>
      <c r="G81" s="26"/>
      <c r="H81" s="26"/>
      <c r="I81" s="26"/>
    </row>
    <row r="82" customFormat="false" ht="15" hidden="false" customHeight="true" outlineLevel="0" collapsed="false">
      <c r="B82" s="27" t="s">
        <v>256</v>
      </c>
      <c r="C82" s="27" t="s">
        <v>257</v>
      </c>
      <c r="D82" s="28" t="s">
        <v>56</v>
      </c>
      <c r="E82" s="29" t="n">
        <v>30</v>
      </c>
      <c r="F82" s="29" t="n">
        <v>20</v>
      </c>
      <c r="G82" s="29" t="s">
        <v>80</v>
      </c>
      <c r="H82" s="27" t="s">
        <v>258</v>
      </c>
      <c r="I82" s="27" t="s">
        <v>259</v>
      </c>
    </row>
    <row r="83" customFormat="false" ht="15" hidden="false" customHeight="true" outlineLevel="0" collapsed="false">
      <c r="B83" s="27" t="s">
        <v>260</v>
      </c>
      <c r="C83" s="27" t="s">
        <v>257</v>
      </c>
      <c r="D83" s="28" t="s">
        <v>56</v>
      </c>
      <c r="E83" s="29" t="n">
        <v>20</v>
      </c>
      <c r="F83" s="29" t="n">
        <v>30</v>
      </c>
      <c r="G83" s="29" t="s">
        <v>80</v>
      </c>
      <c r="H83" s="27" t="s">
        <v>258</v>
      </c>
      <c r="I83" s="27" t="s">
        <v>259</v>
      </c>
    </row>
    <row r="84" customFormat="false" ht="15" hidden="false" customHeight="true" outlineLevel="0" collapsed="false">
      <c r="B84" s="27" t="s">
        <v>261</v>
      </c>
      <c r="C84" s="27" t="s">
        <v>257</v>
      </c>
      <c r="D84" s="28" t="s">
        <v>56</v>
      </c>
      <c r="E84" s="29" t="n">
        <v>15</v>
      </c>
      <c r="F84" s="29" t="n">
        <v>30</v>
      </c>
      <c r="G84" s="29" t="s">
        <v>142</v>
      </c>
      <c r="H84" s="27" t="s">
        <v>262</v>
      </c>
      <c r="I84" s="27" t="s">
        <v>263</v>
      </c>
    </row>
    <row r="85" customFormat="false" ht="15" hidden="false" customHeight="true" outlineLevel="0" collapsed="false">
      <c r="B85" s="27" t="s">
        <v>264</v>
      </c>
      <c r="C85" s="27" t="s">
        <v>257</v>
      </c>
      <c r="D85" s="28" t="s">
        <v>56</v>
      </c>
      <c r="E85" s="29" t="n">
        <v>10</v>
      </c>
      <c r="F85" s="29" t="n">
        <v>50</v>
      </c>
      <c r="G85" s="29" t="s">
        <v>142</v>
      </c>
      <c r="H85" s="27" t="s">
        <v>262</v>
      </c>
      <c r="I85" s="27" t="s">
        <v>263</v>
      </c>
    </row>
    <row r="86" customFormat="false" ht="15" hidden="false" customHeight="true" outlineLevel="0" collapsed="false">
      <c r="B86" s="27" t="s">
        <v>265</v>
      </c>
      <c r="C86" s="27" t="s">
        <v>257</v>
      </c>
      <c r="D86" s="28" t="s">
        <v>56</v>
      </c>
      <c r="E86" s="29" t="n">
        <v>15</v>
      </c>
      <c r="F86" s="29" t="n">
        <v>20</v>
      </c>
      <c r="G86" s="29" t="s">
        <v>84</v>
      </c>
      <c r="H86" s="27" t="s">
        <v>266</v>
      </c>
      <c r="I86" s="27" t="s">
        <v>267</v>
      </c>
    </row>
    <row r="87" customFormat="false" ht="15" hidden="false" customHeight="true" outlineLevel="0" collapsed="false">
      <c r="B87" s="27" t="s">
        <v>268</v>
      </c>
      <c r="C87" s="27" t="s">
        <v>257</v>
      </c>
      <c r="D87" s="28" t="s">
        <v>56</v>
      </c>
      <c r="E87" s="29" t="n">
        <v>30</v>
      </c>
      <c r="F87" s="29" t="n">
        <v>70</v>
      </c>
      <c r="G87" s="29" t="s">
        <v>70</v>
      </c>
      <c r="H87" s="27" t="s">
        <v>269</v>
      </c>
      <c r="I87" s="27" t="s">
        <v>270</v>
      </c>
    </row>
    <row r="88" customFormat="false" ht="15" hidden="false" customHeight="true" outlineLevel="0" collapsed="false">
      <c r="B88" s="27" t="s">
        <v>271</v>
      </c>
      <c r="C88" s="27" t="s">
        <v>257</v>
      </c>
      <c r="D88" s="28" t="s">
        <v>56</v>
      </c>
      <c r="E88" s="29" t="n">
        <v>15</v>
      </c>
      <c r="F88" s="29" t="n">
        <v>100</v>
      </c>
      <c r="G88" s="29" t="s">
        <v>70</v>
      </c>
      <c r="H88" s="27" t="s">
        <v>272</v>
      </c>
      <c r="I88" s="27" t="s">
        <v>273</v>
      </c>
    </row>
    <row r="89" customFormat="false" ht="15" hidden="false" customHeight="true" outlineLevel="0" collapsed="false">
      <c r="B89" s="30" t="s">
        <v>274</v>
      </c>
      <c r="C89" s="30" t="s">
        <v>257</v>
      </c>
      <c r="D89" s="31" t="s">
        <v>98</v>
      </c>
      <c r="E89" s="32" t="n">
        <v>8</v>
      </c>
      <c r="F89" s="32" t="n">
        <v>70</v>
      </c>
      <c r="G89" s="32" t="s">
        <v>57</v>
      </c>
      <c r="H89" s="30" t="s">
        <v>275</v>
      </c>
      <c r="I89" s="30" t="s">
        <v>276</v>
      </c>
    </row>
    <row r="90" customFormat="false" ht="15" hidden="false" customHeight="true" outlineLevel="0" collapsed="false">
      <c r="B90" s="30" t="s">
        <v>277</v>
      </c>
      <c r="C90" s="30" t="s">
        <v>257</v>
      </c>
      <c r="D90" s="31" t="s">
        <v>98</v>
      </c>
      <c r="E90" s="32" t="n">
        <v>5</v>
      </c>
      <c r="F90" s="32" t="n">
        <v>80</v>
      </c>
      <c r="G90" s="32" t="s">
        <v>57</v>
      </c>
      <c r="H90" s="30" t="s">
        <v>275</v>
      </c>
      <c r="I90" s="30" t="s">
        <v>276</v>
      </c>
    </row>
  </sheetData>
  <mergeCells count="26">
    <mergeCell ref="B1:I1"/>
    <mergeCell ref="B2:I2"/>
    <mergeCell ref="B3:I3"/>
    <mergeCell ref="B5:I5"/>
    <mergeCell ref="B9:I9"/>
    <mergeCell ref="B12:I12"/>
    <mergeCell ref="B13:I13"/>
    <mergeCell ref="B20:I20"/>
    <mergeCell ref="B22:I22"/>
    <mergeCell ref="B29:I29"/>
    <mergeCell ref="B33:I33"/>
    <mergeCell ref="B38:I38"/>
    <mergeCell ref="B40:I40"/>
    <mergeCell ref="B46:I46"/>
    <mergeCell ref="B53:I53"/>
    <mergeCell ref="B55:I55"/>
    <mergeCell ref="B56:I56"/>
    <mergeCell ref="C56:I56"/>
    <mergeCell ref="C57:I57"/>
    <mergeCell ref="C58:I58"/>
    <mergeCell ref="C59:I59"/>
    <mergeCell ref="B61:I61"/>
    <mergeCell ref="B64:I64"/>
    <mergeCell ref="B72:I72"/>
    <mergeCell ref="B77:I77"/>
    <mergeCell ref="B81:I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6" min="5" style="1" width="16"/>
    <col collapsed="false" customWidth="true" hidden="false" outlineLevel="0" max="7" min="7" style="1" width="22"/>
    <col collapsed="false" customWidth="true" hidden="false" outlineLevel="0" max="8" min="8" style="1" width="4"/>
  </cols>
  <sheetData>
    <row r="1" customFormat="false" ht="36" hidden="false" customHeight="true" outlineLevel="0" collapsed="false">
      <c r="B1" s="33" t="s">
        <v>278</v>
      </c>
      <c r="C1" s="33"/>
      <c r="D1" s="33"/>
      <c r="E1" s="33"/>
      <c r="F1" s="33"/>
      <c r="G1" s="33"/>
    </row>
    <row r="2" customFormat="false" ht="19.5" hidden="false" customHeight="true" outlineLevel="0" collapsed="false">
      <c r="B2" s="34" t="s">
        <v>279</v>
      </c>
      <c r="C2" s="34"/>
      <c r="D2" s="34"/>
      <c r="E2" s="34"/>
      <c r="F2" s="34"/>
      <c r="G2" s="34"/>
    </row>
    <row r="4" customFormat="false" ht="25.5" hidden="false" customHeight="true" outlineLevel="0" collapsed="false">
      <c r="B4" s="35" t="s">
        <v>280</v>
      </c>
      <c r="C4" s="35"/>
      <c r="D4" s="35"/>
      <c r="E4" s="35"/>
      <c r="F4" s="35"/>
      <c r="G4" s="35"/>
    </row>
    <row r="5" customFormat="false" ht="21.75" hidden="false" customHeight="true" outlineLevel="0" collapsed="false">
      <c r="B5" s="36" t="s">
        <v>281</v>
      </c>
      <c r="C5" s="36" t="s">
        <v>282</v>
      </c>
      <c r="D5" s="36" t="s">
        <v>283</v>
      </c>
      <c r="E5" s="36" t="s">
        <v>284</v>
      </c>
      <c r="F5" s="36" t="s">
        <v>285</v>
      </c>
      <c r="G5" s="36" t="s">
        <v>286</v>
      </c>
    </row>
    <row r="6" customFormat="false" ht="18" hidden="false" customHeight="true" outlineLevel="0" collapsed="false">
      <c r="B6" s="37" t="s">
        <v>287</v>
      </c>
      <c r="C6" s="8" t="n">
        <v>40000</v>
      </c>
      <c r="D6" s="38" t="n">
        <v>1</v>
      </c>
      <c r="E6" s="39" t="n">
        <f aca="false">C6*D6</f>
        <v>40000</v>
      </c>
      <c r="F6" s="40" t="s">
        <v>288</v>
      </c>
      <c r="G6" s="9" t="s">
        <v>289</v>
      </c>
    </row>
    <row r="7" customFormat="false" ht="18" hidden="false" customHeight="true" outlineLevel="0" collapsed="false">
      <c r="B7" s="37" t="s">
        <v>290</v>
      </c>
      <c r="C7" s="8" t="n">
        <v>35000</v>
      </c>
      <c r="D7" s="38" t="n">
        <v>1</v>
      </c>
      <c r="E7" s="39" t="n">
        <f aca="false">C7*D7</f>
        <v>35000</v>
      </c>
      <c r="F7" s="40" t="s">
        <v>288</v>
      </c>
      <c r="G7" s="9" t="s">
        <v>291</v>
      </c>
    </row>
    <row r="8" customFormat="false" ht="18" hidden="false" customHeight="true" outlineLevel="0" collapsed="false">
      <c r="B8" s="37" t="s">
        <v>292</v>
      </c>
      <c r="C8" s="8" t="n">
        <v>25000</v>
      </c>
      <c r="D8" s="38" t="n">
        <v>1</v>
      </c>
      <c r="E8" s="39" t="n">
        <f aca="false">C8*D8</f>
        <v>25000</v>
      </c>
      <c r="F8" s="40" t="s">
        <v>288</v>
      </c>
      <c r="G8" s="9" t="s">
        <v>293</v>
      </c>
    </row>
    <row r="9" customFormat="false" ht="18" hidden="false" customHeight="true" outlineLevel="0" collapsed="false">
      <c r="B9" s="37" t="s">
        <v>294</v>
      </c>
      <c r="C9" s="8" t="n">
        <v>20000</v>
      </c>
      <c r="D9" s="38" t="n">
        <v>1</v>
      </c>
      <c r="E9" s="39" t="n">
        <f aca="false">C9*D9</f>
        <v>20000</v>
      </c>
      <c r="F9" s="40" t="s">
        <v>295</v>
      </c>
      <c r="G9" s="9" t="s">
        <v>296</v>
      </c>
    </row>
    <row r="10" customFormat="false" ht="18" hidden="false" customHeight="true" outlineLevel="0" collapsed="false">
      <c r="B10" s="37" t="s">
        <v>297</v>
      </c>
      <c r="C10" s="8" t="n">
        <v>25000</v>
      </c>
      <c r="D10" s="38" t="n">
        <v>1</v>
      </c>
      <c r="E10" s="39" t="n">
        <f aca="false">C10*D10</f>
        <v>25000</v>
      </c>
      <c r="F10" s="40" t="s">
        <v>295</v>
      </c>
      <c r="G10" s="9" t="s">
        <v>298</v>
      </c>
    </row>
    <row r="11" customFormat="false" ht="18" hidden="false" customHeight="true" outlineLevel="0" collapsed="false">
      <c r="B11" s="37" t="s">
        <v>299</v>
      </c>
      <c r="C11" s="8" t="n">
        <v>75000</v>
      </c>
      <c r="D11" s="38" t="n">
        <v>1</v>
      </c>
      <c r="E11" s="39" t="n">
        <f aca="false">C11*D11</f>
        <v>75000</v>
      </c>
      <c r="F11" s="40" t="s">
        <v>288</v>
      </c>
      <c r="G11" s="9" t="s">
        <v>300</v>
      </c>
    </row>
    <row r="12" customFormat="false" ht="18" hidden="false" customHeight="true" outlineLevel="0" collapsed="false">
      <c r="B12" s="37" t="s">
        <v>301</v>
      </c>
      <c r="C12" s="8" t="n">
        <v>18000</v>
      </c>
      <c r="D12" s="38" t="n">
        <v>1</v>
      </c>
      <c r="E12" s="39" t="n">
        <f aca="false">C12*D12</f>
        <v>18000</v>
      </c>
      <c r="F12" s="40" t="s">
        <v>288</v>
      </c>
      <c r="G12" s="9" t="s">
        <v>302</v>
      </c>
    </row>
    <row r="13" customFormat="false" ht="18" hidden="false" customHeight="true" outlineLevel="0" collapsed="false">
      <c r="B13" s="37" t="s">
        <v>303</v>
      </c>
      <c r="C13" s="8" t="n">
        <v>30000</v>
      </c>
      <c r="D13" s="38" t="n">
        <v>1</v>
      </c>
      <c r="E13" s="39" t="n">
        <f aca="false">C13*D13</f>
        <v>30000</v>
      </c>
      <c r="F13" s="40" t="s">
        <v>288</v>
      </c>
      <c r="G13" s="9" t="s">
        <v>304</v>
      </c>
    </row>
    <row r="14" customFormat="false" ht="18" hidden="false" customHeight="true" outlineLevel="0" collapsed="false">
      <c r="B14" s="37" t="s">
        <v>305</v>
      </c>
      <c r="C14" s="8" t="n">
        <v>8000</v>
      </c>
      <c r="D14" s="38" t="n">
        <v>2</v>
      </c>
      <c r="E14" s="39" t="n">
        <f aca="false">C14*D14</f>
        <v>16000</v>
      </c>
      <c r="F14" s="40" t="s">
        <v>288</v>
      </c>
      <c r="G14" s="9" t="s">
        <v>306</v>
      </c>
    </row>
    <row r="15" customFormat="false" ht="18" hidden="false" customHeight="true" outlineLevel="0" collapsed="false">
      <c r="B15" s="37" t="s">
        <v>307</v>
      </c>
      <c r="C15" s="8" t="n">
        <v>18000</v>
      </c>
      <c r="D15" s="38" t="n">
        <v>1</v>
      </c>
      <c r="E15" s="39" t="n">
        <f aca="false">C15*D15</f>
        <v>18000</v>
      </c>
      <c r="F15" s="40" t="s">
        <v>288</v>
      </c>
      <c r="G15" s="9" t="s">
        <v>308</v>
      </c>
    </row>
    <row r="16" customFormat="false" ht="18" hidden="false" customHeight="true" outlineLevel="0" collapsed="false">
      <c r="B16" s="37" t="s">
        <v>309</v>
      </c>
      <c r="C16" s="8" t="n">
        <v>12000</v>
      </c>
      <c r="D16" s="38" t="n">
        <v>1</v>
      </c>
      <c r="E16" s="39" t="n">
        <f aca="false">C16*D16</f>
        <v>12000</v>
      </c>
      <c r="F16" s="40" t="s">
        <v>288</v>
      </c>
      <c r="G16" s="9" t="s">
        <v>310</v>
      </c>
    </row>
    <row r="17" customFormat="false" ht="21.75" hidden="false" customHeight="true" outlineLevel="0" collapsed="false">
      <c r="B17" s="41" t="s">
        <v>311</v>
      </c>
      <c r="C17" s="42"/>
      <c r="D17" s="42"/>
      <c r="E17" s="43" t="n">
        <f aca="false">SUM(E6:E16)</f>
        <v>314000</v>
      </c>
      <c r="F17" s="44"/>
      <c r="G17" s="44"/>
    </row>
    <row r="19" customFormat="false" ht="25.5" hidden="false" customHeight="true" outlineLevel="0" collapsed="false">
      <c r="B19" s="35" t="s">
        <v>312</v>
      </c>
      <c r="C19" s="35"/>
      <c r="D19" s="35"/>
      <c r="E19" s="35"/>
      <c r="F19" s="35"/>
      <c r="G19" s="35"/>
    </row>
    <row r="20" customFormat="false" ht="21.75" hidden="false" customHeight="true" outlineLevel="0" collapsed="false">
      <c r="B20" s="36" t="s">
        <v>281</v>
      </c>
      <c r="C20" s="36" t="s">
        <v>282</v>
      </c>
      <c r="D20" s="36" t="s">
        <v>283</v>
      </c>
      <c r="E20" s="36" t="s">
        <v>284</v>
      </c>
      <c r="F20" s="36" t="s">
        <v>285</v>
      </c>
      <c r="G20" s="36" t="s">
        <v>286</v>
      </c>
    </row>
    <row r="21" customFormat="false" ht="18" hidden="false" customHeight="true" outlineLevel="0" collapsed="false">
      <c r="B21" s="45" t="s">
        <v>313</v>
      </c>
      <c r="C21" s="46" t="n">
        <v>120000</v>
      </c>
      <c r="D21" s="47" t="n">
        <v>1</v>
      </c>
      <c r="E21" s="48" t="n">
        <f aca="false">C21*D21</f>
        <v>120000</v>
      </c>
      <c r="F21" s="49" t="s">
        <v>288</v>
      </c>
      <c r="G21" s="50" t="s">
        <v>314</v>
      </c>
    </row>
    <row r="22" customFormat="false" ht="18" hidden="false" customHeight="true" outlineLevel="0" collapsed="false">
      <c r="B22" s="45" t="s">
        <v>315</v>
      </c>
      <c r="C22" s="46" t="n">
        <v>95000</v>
      </c>
      <c r="D22" s="47" t="n">
        <v>1</v>
      </c>
      <c r="E22" s="48" t="n">
        <f aca="false">C22*D22</f>
        <v>95000</v>
      </c>
      <c r="F22" s="49" t="s">
        <v>295</v>
      </c>
      <c r="G22" s="50" t="s">
        <v>316</v>
      </c>
    </row>
    <row r="23" customFormat="false" ht="18" hidden="false" customHeight="true" outlineLevel="0" collapsed="false">
      <c r="B23" s="45" t="s">
        <v>317</v>
      </c>
      <c r="C23" s="46" t="n">
        <v>55000</v>
      </c>
      <c r="D23" s="47" t="n">
        <v>1</v>
      </c>
      <c r="E23" s="48" t="n">
        <f aca="false">C23*D23</f>
        <v>55000</v>
      </c>
      <c r="F23" s="49" t="s">
        <v>288</v>
      </c>
      <c r="G23" s="50" t="s">
        <v>318</v>
      </c>
    </row>
    <row r="24" customFormat="false" ht="18" hidden="false" customHeight="true" outlineLevel="0" collapsed="false">
      <c r="B24" s="45" t="s">
        <v>319</v>
      </c>
      <c r="C24" s="46" t="n">
        <v>45000</v>
      </c>
      <c r="D24" s="47" t="n">
        <v>1</v>
      </c>
      <c r="E24" s="48" t="n">
        <f aca="false">C24*D24</f>
        <v>45000</v>
      </c>
      <c r="F24" s="49" t="s">
        <v>295</v>
      </c>
      <c r="G24" s="50" t="s">
        <v>320</v>
      </c>
    </row>
    <row r="25" customFormat="false" ht="18" hidden="false" customHeight="true" outlineLevel="0" collapsed="false">
      <c r="B25" s="45" t="s">
        <v>321</v>
      </c>
      <c r="C25" s="46" t="n">
        <v>35000</v>
      </c>
      <c r="D25" s="47" t="n">
        <v>1</v>
      </c>
      <c r="E25" s="48" t="n">
        <f aca="false">C25*D25</f>
        <v>35000</v>
      </c>
      <c r="F25" s="49" t="s">
        <v>322</v>
      </c>
      <c r="G25" s="50" t="s">
        <v>323</v>
      </c>
    </row>
    <row r="26" customFormat="false" ht="18" hidden="false" customHeight="true" outlineLevel="0" collapsed="false">
      <c r="B26" s="45" t="s">
        <v>324</v>
      </c>
      <c r="C26" s="46" t="n">
        <v>35000</v>
      </c>
      <c r="D26" s="47" t="n">
        <v>1</v>
      </c>
      <c r="E26" s="48" t="n">
        <f aca="false">C26*D26</f>
        <v>35000</v>
      </c>
      <c r="F26" s="49" t="s">
        <v>288</v>
      </c>
      <c r="G26" s="50" t="s">
        <v>325</v>
      </c>
    </row>
    <row r="27" customFormat="false" ht="18" hidden="false" customHeight="true" outlineLevel="0" collapsed="false">
      <c r="B27" s="45" t="s">
        <v>326</v>
      </c>
      <c r="C27" s="46" t="n">
        <v>18000</v>
      </c>
      <c r="D27" s="47" t="n">
        <v>1</v>
      </c>
      <c r="E27" s="48" t="n">
        <f aca="false">C27*D27</f>
        <v>18000</v>
      </c>
      <c r="F27" s="49" t="s">
        <v>288</v>
      </c>
      <c r="G27" s="50" t="s">
        <v>327</v>
      </c>
    </row>
    <row r="28" customFormat="false" ht="18" hidden="false" customHeight="true" outlineLevel="0" collapsed="false">
      <c r="B28" s="45" t="s">
        <v>328</v>
      </c>
      <c r="C28" s="46" t="n">
        <v>22000</v>
      </c>
      <c r="D28" s="47" t="n">
        <v>1</v>
      </c>
      <c r="E28" s="48" t="n">
        <f aca="false">C28*D28</f>
        <v>22000</v>
      </c>
      <c r="F28" s="49" t="s">
        <v>295</v>
      </c>
      <c r="G28" s="50" t="s">
        <v>329</v>
      </c>
    </row>
    <row r="29" customFormat="false" ht="18" hidden="false" customHeight="true" outlineLevel="0" collapsed="false">
      <c r="B29" s="45" t="s">
        <v>330</v>
      </c>
      <c r="C29" s="46" t="n">
        <v>8000</v>
      </c>
      <c r="D29" s="47" t="n">
        <v>2</v>
      </c>
      <c r="E29" s="48" t="n">
        <f aca="false">C29*D29</f>
        <v>16000</v>
      </c>
      <c r="F29" s="49" t="s">
        <v>288</v>
      </c>
      <c r="G29" s="50" t="s">
        <v>331</v>
      </c>
    </row>
    <row r="30" customFormat="false" ht="21.75" hidden="false" customHeight="true" outlineLevel="0" collapsed="false">
      <c r="B30" s="41" t="s">
        <v>332</v>
      </c>
      <c r="C30" s="42"/>
      <c r="D30" s="42"/>
      <c r="E30" s="43" t="n">
        <f aca="false">SUM(E21:E29)</f>
        <v>441000</v>
      </c>
      <c r="F30" s="44"/>
      <c r="G30" s="44"/>
    </row>
    <row r="32" customFormat="false" ht="25.5" hidden="false" customHeight="true" outlineLevel="0" collapsed="false">
      <c r="B32" s="35" t="s">
        <v>333</v>
      </c>
      <c r="C32" s="35"/>
      <c r="D32" s="35"/>
      <c r="E32" s="35"/>
      <c r="F32" s="35"/>
      <c r="G32" s="35"/>
    </row>
    <row r="33" customFormat="false" ht="21.75" hidden="false" customHeight="true" outlineLevel="0" collapsed="false">
      <c r="B33" s="36" t="s">
        <v>281</v>
      </c>
      <c r="C33" s="36" t="s">
        <v>282</v>
      </c>
      <c r="D33" s="36" t="s">
        <v>283</v>
      </c>
      <c r="E33" s="36" t="s">
        <v>284</v>
      </c>
      <c r="F33" s="36" t="s">
        <v>285</v>
      </c>
      <c r="G33" s="36" t="s">
        <v>286</v>
      </c>
    </row>
    <row r="34" customFormat="false" ht="18" hidden="false" customHeight="true" outlineLevel="0" collapsed="false">
      <c r="B34" s="37" t="s">
        <v>334</v>
      </c>
      <c r="C34" s="8" t="n">
        <v>85000</v>
      </c>
      <c r="D34" s="38" t="n">
        <v>1</v>
      </c>
      <c r="E34" s="39" t="n">
        <f aca="false">C34*D34</f>
        <v>85000</v>
      </c>
      <c r="F34" s="40" t="s">
        <v>288</v>
      </c>
      <c r="G34" s="9" t="s">
        <v>335</v>
      </c>
    </row>
    <row r="35" customFormat="false" ht="18" hidden="false" customHeight="true" outlineLevel="0" collapsed="false">
      <c r="B35" s="37" t="s">
        <v>336</v>
      </c>
      <c r="C35" s="8" t="n">
        <v>70000</v>
      </c>
      <c r="D35" s="38" t="n">
        <v>1</v>
      </c>
      <c r="E35" s="39" t="n">
        <f aca="false">C35*D35</f>
        <v>70000</v>
      </c>
      <c r="F35" s="40" t="s">
        <v>288</v>
      </c>
      <c r="G35" s="9" t="s">
        <v>337</v>
      </c>
    </row>
    <row r="36" customFormat="false" ht="18" hidden="false" customHeight="true" outlineLevel="0" collapsed="false">
      <c r="B36" s="37" t="s">
        <v>338</v>
      </c>
      <c r="C36" s="8" t="n">
        <v>35000</v>
      </c>
      <c r="D36" s="38" t="n">
        <v>1</v>
      </c>
      <c r="E36" s="39" t="n">
        <f aca="false">C36*D36</f>
        <v>35000</v>
      </c>
      <c r="F36" s="40" t="s">
        <v>295</v>
      </c>
      <c r="G36" s="9" t="s">
        <v>339</v>
      </c>
    </row>
    <row r="37" customFormat="false" ht="18" hidden="false" customHeight="true" outlineLevel="0" collapsed="false">
      <c r="B37" s="37" t="s">
        <v>340</v>
      </c>
      <c r="C37" s="8" t="n">
        <v>28000</v>
      </c>
      <c r="D37" s="38" t="n">
        <v>1</v>
      </c>
      <c r="E37" s="39" t="n">
        <f aca="false">C37*D37</f>
        <v>28000</v>
      </c>
      <c r="F37" s="40" t="s">
        <v>288</v>
      </c>
      <c r="G37" s="9" t="s">
        <v>341</v>
      </c>
    </row>
    <row r="38" customFormat="false" ht="18" hidden="false" customHeight="true" outlineLevel="0" collapsed="false">
      <c r="B38" s="37" t="s">
        <v>342</v>
      </c>
      <c r="C38" s="8" t="n">
        <v>180000</v>
      </c>
      <c r="D38" s="38" t="n">
        <v>1</v>
      </c>
      <c r="E38" s="39" t="n">
        <f aca="false">C38*D38</f>
        <v>180000</v>
      </c>
      <c r="F38" s="40" t="s">
        <v>322</v>
      </c>
      <c r="G38" s="9" t="s">
        <v>343</v>
      </c>
    </row>
    <row r="39" customFormat="false" ht="18" hidden="false" customHeight="true" outlineLevel="0" collapsed="false">
      <c r="B39" s="37" t="s">
        <v>344</v>
      </c>
      <c r="C39" s="8" t="n">
        <v>35000</v>
      </c>
      <c r="D39" s="38" t="n">
        <v>1</v>
      </c>
      <c r="E39" s="39" t="n">
        <f aca="false">C39*D39</f>
        <v>35000</v>
      </c>
      <c r="F39" s="40" t="s">
        <v>295</v>
      </c>
      <c r="G39" s="9" t="s">
        <v>345</v>
      </c>
    </row>
    <row r="40" customFormat="false" ht="21.75" hidden="false" customHeight="true" outlineLevel="0" collapsed="false">
      <c r="B40" s="41" t="s">
        <v>346</v>
      </c>
      <c r="C40" s="42"/>
      <c r="D40" s="42"/>
      <c r="E40" s="43" t="n">
        <f aca="false">SUM(E34:E39)</f>
        <v>433000</v>
      </c>
      <c r="F40" s="44"/>
      <c r="G40" s="44"/>
    </row>
    <row r="42" customFormat="false" ht="25.5" hidden="false" customHeight="true" outlineLevel="0" collapsed="false">
      <c r="B42" s="35" t="s">
        <v>347</v>
      </c>
      <c r="C42" s="35"/>
      <c r="D42" s="35"/>
      <c r="E42" s="35"/>
      <c r="F42" s="35"/>
      <c r="G42" s="35"/>
    </row>
    <row r="43" customFormat="false" ht="21.75" hidden="false" customHeight="true" outlineLevel="0" collapsed="false">
      <c r="B43" s="36" t="s">
        <v>281</v>
      </c>
      <c r="C43" s="36" t="s">
        <v>282</v>
      </c>
      <c r="D43" s="36" t="s">
        <v>283</v>
      </c>
      <c r="E43" s="36" t="s">
        <v>284</v>
      </c>
      <c r="F43" s="36" t="s">
        <v>285</v>
      </c>
      <c r="G43" s="36" t="s">
        <v>286</v>
      </c>
    </row>
    <row r="44" customFormat="false" ht="18" hidden="false" customHeight="true" outlineLevel="0" collapsed="false">
      <c r="B44" s="45" t="s">
        <v>348</v>
      </c>
      <c r="C44" s="46" t="n">
        <v>32000</v>
      </c>
      <c r="D44" s="47" t="n">
        <v>2</v>
      </c>
      <c r="E44" s="48" t="n">
        <f aca="false">C44*D44</f>
        <v>64000</v>
      </c>
      <c r="F44" s="49" t="s">
        <v>288</v>
      </c>
      <c r="G44" s="50" t="s">
        <v>349</v>
      </c>
    </row>
    <row r="45" customFormat="false" ht="18" hidden="false" customHeight="true" outlineLevel="0" collapsed="false">
      <c r="B45" s="45" t="s">
        <v>350</v>
      </c>
      <c r="C45" s="46" t="n">
        <v>48000</v>
      </c>
      <c r="D45" s="47" t="n">
        <v>1</v>
      </c>
      <c r="E45" s="48" t="n">
        <f aca="false">C45*D45</f>
        <v>48000</v>
      </c>
      <c r="F45" s="49" t="s">
        <v>288</v>
      </c>
      <c r="G45" s="50" t="s">
        <v>351</v>
      </c>
    </row>
    <row r="46" customFormat="false" ht="18" hidden="false" customHeight="true" outlineLevel="0" collapsed="false">
      <c r="B46" s="45" t="s">
        <v>352</v>
      </c>
      <c r="C46" s="46" t="n">
        <v>16000</v>
      </c>
      <c r="D46" s="47" t="n">
        <v>2</v>
      </c>
      <c r="E46" s="48" t="n">
        <f aca="false">C46*D46</f>
        <v>32000</v>
      </c>
      <c r="F46" s="49" t="s">
        <v>288</v>
      </c>
      <c r="G46" s="50" t="s">
        <v>353</v>
      </c>
    </row>
    <row r="47" customFormat="false" ht="18" hidden="false" customHeight="true" outlineLevel="0" collapsed="false">
      <c r="B47" s="45" t="s">
        <v>354</v>
      </c>
      <c r="C47" s="46" t="n">
        <v>22000</v>
      </c>
      <c r="D47" s="47" t="n">
        <v>1</v>
      </c>
      <c r="E47" s="48" t="n">
        <f aca="false">C47*D47</f>
        <v>22000</v>
      </c>
      <c r="F47" s="49" t="s">
        <v>295</v>
      </c>
      <c r="G47" s="50" t="s">
        <v>355</v>
      </c>
    </row>
    <row r="48" customFormat="false" ht="18" hidden="false" customHeight="true" outlineLevel="0" collapsed="false">
      <c r="B48" s="45" t="s">
        <v>356</v>
      </c>
      <c r="C48" s="46" t="n">
        <v>30000</v>
      </c>
      <c r="D48" s="47" t="n">
        <v>1</v>
      </c>
      <c r="E48" s="48" t="n">
        <f aca="false">C48*D48</f>
        <v>30000</v>
      </c>
      <c r="F48" s="49" t="s">
        <v>288</v>
      </c>
      <c r="G48" s="50" t="s">
        <v>357</v>
      </c>
    </row>
    <row r="49" customFormat="false" ht="18" hidden="false" customHeight="true" outlineLevel="0" collapsed="false">
      <c r="B49" s="45" t="s">
        <v>358</v>
      </c>
      <c r="C49" s="46" t="n">
        <v>28000</v>
      </c>
      <c r="D49" s="47" t="n">
        <v>1</v>
      </c>
      <c r="E49" s="48" t="n">
        <f aca="false">C49*D49</f>
        <v>28000</v>
      </c>
      <c r="F49" s="49" t="s">
        <v>295</v>
      </c>
      <c r="G49" s="50" t="s">
        <v>359</v>
      </c>
    </row>
    <row r="50" customFormat="false" ht="18" hidden="false" customHeight="true" outlineLevel="0" collapsed="false">
      <c r="B50" s="45" t="s">
        <v>360</v>
      </c>
      <c r="C50" s="46" t="n">
        <v>18000</v>
      </c>
      <c r="D50" s="47" t="n">
        <v>1</v>
      </c>
      <c r="E50" s="48" t="n">
        <f aca="false">C50*D50</f>
        <v>18000</v>
      </c>
      <c r="F50" s="49" t="s">
        <v>295</v>
      </c>
      <c r="G50" s="50" t="s">
        <v>361</v>
      </c>
    </row>
    <row r="51" customFormat="false" ht="18" hidden="false" customHeight="true" outlineLevel="0" collapsed="false">
      <c r="B51" s="45" t="s">
        <v>362</v>
      </c>
      <c r="C51" s="46" t="n">
        <v>18000</v>
      </c>
      <c r="D51" s="47" t="n">
        <v>4</v>
      </c>
      <c r="E51" s="48" t="n">
        <f aca="false">C51*D51</f>
        <v>72000</v>
      </c>
      <c r="F51" s="49" t="s">
        <v>288</v>
      </c>
      <c r="G51" s="50" t="s">
        <v>363</v>
      </c>
    </row>
    <row r="52" customFormat="false" ht="18" hidden="false" customHeight="true" outlineLevel="0" collapsed="false">
      <c r="B52" s="45" t="s">
        <v>364</v>
      </c>
      <c r="C52" s="46" t="n">
        <v>8000</v>
      </c>
      <c r="D52" s="47" t="n">
        <v>1</v>
      </c>
      <c r="E52" s="48" t="n">
        <f aca="false">C52*D52</f>
        <v>8000</v>
      </c>
      <c r="F52" s="49" t="s">
        <v>288</v>
      </c>
      <c r="G52" s="50" t="s">
        <v>365</v>
      </c>
    </row>
    <row r="53" customFormat="false" ht="21.75" hidden="false" customHeight="true" outlineLevel="0" collapsed="false">
      <c r="B53" s="41" t="s">
        <v>366</v>
      </c>
      <c r="C53" s="42"/>
      <c r="D53" s="42"/>
      <c r="E53" s="43" t="n">
        <f aca="false">SUM(E44:E52)</f>
        <v>322000</v>
      </c>
      <c r="F53" s="44"/>
      <c r="G53" s="44"/>
    </row>
    <row r="55" customFormat="false" ht="25.5" hidden="false" customHeight="true" outlineLevel="0" collapsed="false">
      <c r="B55" s="35" t="s">
        <v>367</v>
      </c>
      <c r="C55" s="35"/>
      <c r="D55" s="35"/>
      <c r="E55" s="35"/>
      <c r="F55" s="35"/>
      <c r="G55" s="35"/>
    </row>
    <row r="56" customFormat="false" ht="21.75" hidden="false" customHeight="true" outlineLevel="0" collapsed="false">
      <c r="B56" s="36" t="s">
        <v>281</v>
      </c>
      <c r="C56" s="36" t="s">
        <v>282</v>
      </c>
      <c r="D56" s="36" t="s">
        <v>283</v>
      </c>
      <c r="E56" s="36" t="s">
        <v>284</v>
      </c>
      <c r="F56" s="36" t="s">
        <v>285</v>
      </c>
      <c r="G56" s="36" t="s">
        <v>286</v>
      </c>
    </row>
    <row r="57" customFormat="false" ht="18" hidden="false" customHeight="true" outlineLevel="0" collapsed="false">
      <c r="B57" s="37" t="s">
        <v>368</v>
      </c>
      <c r="C57" s="8" t="n">
        <v>22000</v>
      </c>
      <c r="D57" s="38" t="n">
        <v>1</v>
      </c>
      <c r="E57" s="39" t="n">
        <f aca="false">C57*D57</f>
        <v>22000</v>
      </c>
      <c r="F57" s="40" t="s">
        <v>288</v>
      </c>
      <c r="G57" s="9" t="s">
        <v>369</v>
      </c>
    </row>
    <row r="58" customFormat="false" ht="18" hidden="false" customHeight="true" outlineLevel="0" collapsed="false">
      <c r="B58" s="37" t="s">
        <v>370</v>
      </c>
      <c r="C58" s="8" t="n">
        <v>18000</v>
      </c>
      <c r="D58" s="38" t="n">
        <v>1</v>
      </c>
      <c r="E58" s="39" t="n">
        <f aca="false">C58*D58</f>
        <v>18000</v>
      </c>
      <c r="F58" s="40" t="s">
        <v>288</v>
      </c>
      <c r="G58" s="9" t="s">
        <v>371</v>
      </c>
    </row>
    <row r="59" customFormat="false" ht="18" hidden="false" customHeight="true" outlineLevel="0" collapsed="false">
      <c r="B59" s="37" t="s">
        <v>372</v>
      </c>
      <c r="C59" s="8" t="n">
        <v>12000</v>
      </c>
      <c r="D59" s="38" t="n">
        <v>1</v>
      </c>
      <c r="E59" s="39" t="n">
        <f aca="false">C59*D59</f>
        <v>12000</v>
      </c>
      <c r="F59" s="40" t="s">
        <v>288</v>
      </c>
      <c r="G59" s="9" t="s">
        <v>373</v>
      </c>
    </row>
    <row r="60" customFormat="false" ht="18" hidden="false" customHeight="true" outlineLevel="0" collapsed="false">
      <c r="B60" s="37" t="s">
        <v>374</v>
      </c>
      <c r="C60" s="8" t="n">
        <v>8000</v>
      </c>
      <c r="D60" s="38" t="n">
        <v>1</v>
      </c>
      <c r="E60" s="39" t="n">
        <f aca="false">C60*D60</f>
        <v>8000</v>
      </c>
      <c r="F60" s="40" t="s">
        <v>288</v>
      </c>
      <c r="G60" s="9" t="s">
        <v>375</v>
      </c>
    </row>
    <row r="61" customFormat="false" ht="18" hidden="false" customHeight="true" outlineLevel="0" collapsed="false">
      <c r="B61" s="37" t="s">
        <v>376</v>
      </c>
      <c r="C61" s="8" t="n">
        <v>6000</v>
      </c>
      <c r="D61" s="38" t="n">
        <v>1</v>
      </c>
      <c r="E61" s="39" t="n">
        <f aca="false">C61*D61</f>
        <v>6000</v>
      </c>
      <c r="F61" s="40" t="s">
        <v>288</v>
      </c>
      <c r="G61" s="9" t="s">
        <v>377</v>
      </c>
    </row>
    <row r="62" customFormat="false" ht="18" hidden="false" customHeight="true" outlineLevel="0" collapsed="false">
      <c r="B62" s="37" t="s">
        <v>378</v>
      </c>
      <c r="C62" s="8" t="n">
        <v>8000</v>
      </c>
      <c r="D62" s="38" t="n">
        <v>1</v>
      </c>
      <c r="E62" s="39" t="n">
        <f aca="false">C62*D62</f>
        <v>8000</v>
      </c>
      <c r="F62" s="40" t="s">
        <v>288</v>
      </c>
      <c r="G62" s="9" t="s">
        <v>379</v>
      </c>
    </row>
    <row r="63" customFormat="false" ht="18" hidden="false" customHeight="true" outlineLevel="0" collapsed="false">
      <c r="B63" s="37" t="s">
        <v>380</v>
      </c>
      <c r="C63" s="8" t="n">
        <v>4000</v>
      </c>
      <c r="D63" s="38" t="n">
        <v>1</v>
      </c>
      <c r="E63" s="39" t="n">
        <f aca="false">C63*D63</f>
        <v>4000</v>
      </c>
      <c r="F63" s="40" t="s">
        <v>288</v>
      </c>
      <c r="G63" s="9" t="s">
        <v>381</v>
      </c>
    </row>
    <row r="64" customFormat="false" ht="18" hidden="false" customHeight="true" outlineLevel="0" collapsed="false">
      <c r="B64" s="37" t="s">
        <v>382</v>
      </c>
      <c r="C64" s="8" t="n">
        <v>3500</v>
      </c>
      <c r="D64" s="38" t="n">
        <v>4</v>
      </c>
      <c r="E64" s="39" t="n">
        <f aca="false">C64*D64</f>
        <v>14000</v>
      </c>
      <c r="F64" s="40" t="s">
        <v>288</v>
      </c>
      <c r="G64" s="9" t="s">
        <v>383</v>
      </c>
    </row>
    <row r="65" customFormat="false" ht="18" hidden="false" customHeight="true" outlineLevel="0" collapsed="false">
      <c r="B65" s="37" t="s">
        <v>384</v>
      </c>
      <c r="C65" s="8" t="n">
        <v>8000</v>
      </c>
      <c r="D65" s="38" t="n">
        <v>1</v>
      </c>
      <c r="E65" s="39" t="n">
        <f aca="false">C65*D65</f>
        <v>8000</v>
      </c>
      <c r="F65" s="40" t="s">
        <v>288</v>
      </c>
      <c r="G65" s="9" t="s">
        <v>385</v>
      </c>
    </row>
    <row r="66" customFormat="false" ht="18" hidden="false" customHeight="true" outlineLevel="0" collapsed="false">
      <c r="B66" s="37" t="s">
        <v>386</v>
      </c>
      <c r="C66" s="8" t="n">
        <v>12000</v>
      </c>
      <c r="D66" s="38" t="n">
        <v>2</v>
      </c>
      <c r="E66" s="39" t="n">
        <f aca="false">C66*D66</f>
        <v>24000</v>
      </c>
      <c r="F66" s="40" t="s">
        <v>288</v>
      </c>
      <c r="G66" s="9" t="s">
        <v>387</v>
      </c>
    </row>
    <row r="67" customFormat="false" ht="18" hidden="false" customHeight="true" outlineLevel="0" collapsed="false">
      <c r="B67" s="37" t="s">
        <v>388</v>
      </c>
      <c r="C67" s="8" t="n">
        <v>4000</v>
      </c>
      <c r="D67" s="38" t="n">
        <v>1</v>
      </c>
      <c r="E67" s="39" t="n">
        <f aca="false">C67*D67</f>
        <v>4000</v>
      </c>
      <c r="F67" s="40" t="s">
        <v>288</v>
      </c>
      <c r="G67" s="9" t="s">
        <v>389</v>
      </c>
    </row>
    <row r="68" customFormat="false" ht="18" hidden="false" customHeight="true" outlineLevel="0" collapsed="false">
      <c r="B68" s="37" t="s">
        <v>390</v>
      </c>
      <c r="C68" s="8" t="n">
        <v>14000</v>
      </c>
      <c r="D68" s="38" t="n">
        <v>1</v>
      </c>
      <c r="E68" s="39" t="n">
        <f aca="false">C68*D68</f>
        <v>14000</v>
      </c>
      <c r="F68" s="40" t="s">
        <v>295</v>
      </c>
      <c r="G68" s="9" t="s">
        <v>391</v>
      </c>
    </row>
    <row r="69" customFormat="false" ht="18" hidden="false" customHeight="true" outlineLevel="0" collapsed="false">
      <c r="B69" s="37" t="s">
        <v>392</v>
      </c>
      <c r="C69" s="8" t="n">
        <v>5000</v>
      </c>
      <c r="D69" s="38" t="n">
        <v>1</v>
      </c>
      <c r="E69" s="39" t="n">
        <f aca="false">C69*D69</f>
        <v>5000</v>
      </c>
      <c r="F69" s="40" t="s">
        <v>288</v>
      </c>
      <c r="G69" s="9" t="s">
        <v>393</v>
      </c>
    </row>
    <row r="70" customFormat="false" ht="18" hidden="false" customHeight="true" outlineLevel="0" collapsed="false">
      <c r="B70" s="37" t="s">
        <v>394</v>
      </c>
      <c r="C70" s="8" t="n">
        <v>6000</v>
      </c>
      <c r="D70" s="38" t="n">
        <v>1</v>
      </c>
      <c r="E70" s="39" t="n">
        <f aca="false">C70*D70</f>
        <v>6000</v>
      </c>
      <c r="F70" s="40" t="s">
        <v>288</v>
      </c>
      <c r="G70" s="9" t="s">
        <v>395</v>
      </c>
    </row>
    <row r="71" customFormat="false" ht="21.75" hidden="false" customHeight="true" outlineLevel="0" collapsed="false">
      <c r="B71" s="41" t="s">
        <v>396</v>
      </c>
      <c r="C71" s="42"/>
      <c r="D71" s="42"/>
      <c r="E71" s="43" t="n">
        <f aca="false">SUM(E57:E70)</f>
        <v>153000</v>
      </c>
      <c r="F71" s="44"/>
      <c r="G71" s="44"/>
    </row>
    <row r="73" customFormat="false" ht="25.5" hidden="false" customHeight="true" outlineLevel="0" collapsed="false">
      <c r="B73" s="35" t="s">
        <v>397</v>
      </c>
      <c r="C73" s="35"/>
      <c r="D73" s="35"/>
      <c r="E73" s="35"/>
      <c r="F73" s="35"/>
      <c r="G73" s="35"/>
    </row>
    <row r="74" customFormat="false" ht="21.75" hidden="false" customHeight="true" outlineLevel="0" collapsed="false">
      <c r="B74" s="36" t="s">
        <v>281</v>
      </c>
      <c r="C74" s="36" t="s">
        <v>282</v>
      </c>
      <c r="D74" s="36" t="s">
        <v>283</v>
      </c>
      <c r="E74" s="36" t="s">
        <v>284</v>
      </c>
      <c r="F74" s="36" t="s">
        <v>285</v>
      </c>
      <c r="G74" s="36" t="s">
        <v>286</v>
      </c>
    </row>
    <row r="75" customFormat="false" ht="18" hidden="false" customHeight="true" outlineLevel="0" collapsed="false">
      <c r="B75" s="45" t="s">
        <v>398</v>
      </c>
      <c r="C75" s="46" t="n">
        <v>65000</v>
      </c>
      <c r="D75" s="47" t="n">
        <v>1</v>
      </c>
      <c r="E75" s="48" t="n">
        <f aca="false">C75*D75</f>
        <v>65000</v>
      </c>
      <c r="F75" s="49" t="s">
        <v>288</v>
      </c>
      <c r="G75" s="50" t="s">
        <v>399</v>
      </c>
    </row>
    <row r="76" customFormat="false" ht="18" hidden="false" customHeight="true" outlineLevel="0" collapsed="false">
      <c r="B76" s="45" t="s">
        <v>400</v>
      </c>
      <c r="C76" s="46" t="n">
        <v>3000</v>
      </c>
      <c r="D76" s="47" t="n">
        <v>4</v>
      </c>
      <c r="E76" s="48" t="n">
        <f aca="false">C76*D76</f>
        <v>12000</v>
      </c>
      <c r="F76" s="49" t="s">
        <v>288</v>
      </c>
      <c r="G76" s="50" t="s">
        <v>401</v>
      </c>
    </row>
    <row r="77" customFormat="false" ht="18" hidden="false" customHeight="true" outlineLevel="0" collapsed="false">
      <c r="B77" s="45" t="s">
        <v>402</v>
      </c>
      <c r="C77" s="46" t="n">
        <v>3500</v>
      </c>
      <c r="D77" s="47" t="n">
        <v>1</v>
      </c>
      <c r="E77" s="48" t="n">
        <f aca="false">C77*D77</f>
        <v>3500</v>
      </c>
      <c r="F77" s="49" t="s">
        <v>288</v>
      </c>
      <c r="G77" s="50" t="s">
        <v>403</v>
      </c>
    </row>
    <row r="78" customFormat="false" ht="18" hidden="false" customHeight="true" outlineLevel="0" collapsed="false">
      <c r="B78" s="45" t="s">
        <v>404</v>
      </c>
      <c r="C78" s="46" t="n">
        <v>3500</v>
      </c>
      <c r="D78" s="47" t="n">
        <v>1</v>
      </c>
      <c r="E78" s="48" t="n">
        <f aca="false">C78*D78</f>
        <v>3500</v>
      </c>
      <c r="F78" s="49" t="s">
        <v>288</v>
      </c>
      <c r="G78" s="50" t="s">
        <v>405</v>
      </c>
    </row>
    <row r="79" customFormat="false" ht="18" hidden="false" customHeight="true" outlineLevel="0" collapsed="false">
      <c r="B79" s="45" t="s">
        <v>406</v>
      </c>
      <c r="C79" s="46" t="n">
        <v>6000</v>
      </c>
      <c r="D79" s="47" t="n">
        <v>1</v>
      </c>
      <c r="E79" s="48" t="n">
        <f aca="false">C79*D79</f>
        <v>6000</v>
      </c>
      <c r="F79" s="49" t="s">
        <v>288</v>
      </c>
      <c r="G79" s="50" t="s">
        <v>407</v>
      </c>
    </row>
    <row r="80" customFormat="false" ht="18" hidden="false" customHeight="true" outlineLevel="0" collapsed="false">
      <c r="B80" s="45" t="s">
        <v>408</v>
      </c>
      <c r="C80" s="46" t="n">
        <v>5000</v>
      </c>
      <c r="D80" s="47" t="n">
        <v>1</v>
      </c>
      <c r="E80" s="48" t="n">
        <f aca="false">C80*D80</f>
        <v>5000</v>
      </c>
      <c r="F80" s="49" t="s">
        <v>288</v>
      </c>
      <c r="G80" s="50" t="s">
        <v>409</v>
      </c>
    </row>
    <row r="81" customFormat="false" ht="18" hidden="false" customHeight="true" outlineLevel="0" collapsed="false">
      <c r="B81" s="45" t="s">
        <v>410</v>
      </c>
      <c r="C81" s="46" t="n">
        <v>15000</v>
      </c>
      <c r="D81" s="47" t="n">
        <v>1</v>
      </c>
      <c r="E81" s="48" t="n">
        <f aca="false">C81*D81</f>
        <v>15000</v>
      </c>
      <c r="F81" s="49" t="s">
        <v>295</v>
      </c>
      <c r="G81" s="50" t="s">
        <v>411</v>
      </c>
    </row>
    <row r="82" customFormat="false" ht="21.75" hidden="false" customHeight="true" outlineLevel="0" collapsed="false">
      <c r="B82" s="41" t="s">
        <v>412</v>
      </c>
      <c r="C82" s="42"/>
      <c r="D82" s="42"/>
      <c r="E82" s="43" t="n">
        <f aca="false">SUM(E75:E81)</f>
        <v>110000</v>
      </c>
      <c r="F82" s="44"/>
      <c r="G82" s="44"/>
    </row>
    <row r="84" customFormat="false" ht="30" hidden="false" customHeight="true" outlineLevel="0" collapsed="false">
      <c r="B84" s="51" t="s">
        <v>413</v>
      </c>
      <c r="C84" s="51"/>
      <c r="D84" s="51"/>
      <c r="E84" s="52" t="n">
        <f aca="false">SUM(E6:E81)</f>
        <v>3436000</v>
      </c>
      <c r="F84" s="53"/>
      <c r="G84" s="53"/>
    </row>
  </sheetData>
  <mergeCells count="15">
    <mergeCell ref="B1:G1"/>
    <mergeCell ref="B2:G2"/>
    <mergeCell ref="B4:G4"/>
    <mergeCell ref="C17:D17"/>
    <mergeCell ref="B19:G19"/>
    <mergeCell ref="C30:D30"/>
    <mergeCell ref="B32:G32"/>
    <mergeCell ref="C40:D40"/>
    <mergeCell ref="B42:G42"/>
    <mergeCell ref="C53:D53"/>
    <mergeCell ref="B55:G55"/>
    <mergeCell ref="C71:D71"/>
    <mergeCell ref="B73:G73"/>
    <mergeCell ref="C82:D82"/>
    <mergeCell ref="B84:D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6" min="5" style="1" width="16"/>
    <col collapsed="false" customWidth="true" hidden="false" outlineLevel="0" max="7" min="7" style="1" width="22"/>
    <col collapsed="false" customWidth="true" hidden="false" outlineLevel="0" max="8" min="8" style="1" width="4"/>
  </cols>
  <sheetData>
    <row r="1" customFormat="false" ht="36" hidden="false" customHeight="true" outlineLevel="0" collapsed="false">
      <c r="B1" s="54" t="s">
        <v>414</v>
      </c>
      <c r="C1" s="54"/>
      <c r="D1" s="54"/>
      <c r="E1" s="54"/>
      <c r="F1" s="54"/>
      <c r="G1" s="54"/>
    </row>
    <row r="2" customFormat="false" ht="19.5" hidden="false" customHeight="true" outlineLevel="0" collapsed="false">
      <c r="B2" s="34" t="s">
        <v>415</v>
      </c>
      <c r="C2" s="34"/>
      <c r="D2" s="34"/>
      <c r="E2" s="34"/>
      <c r="F2" s="34"/>
      <c r="G2" s="34"/>
    </row>
    <row r="4" customFormat="false" ht="25.5" hidden="false" customHeight="true" outlineLevel="0" collapsed="false">
      <c r="B4" s="35" t="s">
        <v>416</v>
      </c>
      <c r="C4" s="35"/>
      <c r="D4" s="35"/>
      <c r="E4" s="35"/>
      <c r="F4" s="35"/>
      <c r="G4" s="35"/>
    </row>
    <row r="5" customFormat="false" ht="21.75" hidden="false" customHeight="true" outlineLevel="0" collapsed="false">
      <c r="B5" s="36" t="s">
        <v>281</v>
      </c>
      <c r="C5" s="36" t="s">
        <v>282</v>
      </c>
      <c r="D5" s="36" t="s">
        <v>283</v>
      </c>
      <c r="E5" s="36" t="s">
        <v>284</v>
      </c>
      <c r="F5" s="36" t="s">
        <v>285</v>
      </c>
      <c r="G5" s="36" t="s">
        <v>286</v>
      </c>
    </row>
    <row r="6" customFormat="false" ht="18" hidden="false" customHeight="true" outlineLevel="0" collapsed="false">
      <c r="B6" s="37" t="s">
        <v>287</v>
      </c>
      <c r="C6" s="8" t="n">
        <v>35000</v>
      </c>
      <c r="D6" s="38" t="n">
        <v>1</v>
      </c>
      <c r="E6" s="39" t="n">
        <f aca="false">C6*D6</f>
        <v>35000</v>
      </c>
      <c r="F6" s="40" t="s">
        <v>288</v>
      </c>
      <c r="G6" s="9" t="s">
        <v>417</v>
      </c>
    </row>
    <row r="7" customFormat="false" ht="18" hidden="false" customHeight="true" outlineLevel="0" collapsed="false">
      <c r="B7" s="37" t="s">
        <v>418</v>
      </c>
      <c r="C7" s="8" t="n">
        <v>65000</v>
      </c>
      <c r="D7" s="38" t="n">
        <v>1</v>
      </c>
      <c r="E7" s="39" t="n">
        <f aca="false">C7*D7</f>
        <v>65000</v>
      </c>
      <c r="F7" s="40" t="s">
        <v>288</v>
      </c>
      <c r="G7" s="9" t="s">
        <v>419</v>
      </c>
    </row>
    <row r="8" customFormat="false" ht="18" hidden="false" customHeight="true" outlineLevel="0" collapsed="false">
      <c r="B8" s="37" t="s">
        <v>420</v>
      </c>
      <c r="C8" s="8" t="n">
        <v>20000</v>
      </c>
      <c r="D8" s="38" t="n">
        <v>1</v>
      </c>
      <c r="E8" s="39" t="n">
        <f aca="false">C8*D8</f>
        <v>20000</v>
      </c>
      <c r="F8" s="40" t="s">
        <v>288</v>
      </c>
      <c r="G8" s="9" t="s">
        <v>421</v>
      </c>
    </row>
    <row r="9" customFormat="false" ht="18" hidden="false" customHeight="true" outlineLevel="0" collapsed="false">
      <c r="B9" s="37" t="s">
        <v>422</v>
      </c>
      <c r="C9" s="8" t="n">
        <v>15000</v>
      </c>
      <c r="D9" s="38" t="n">
        <v>1</v>
      </c>
      <c r="E9" s="39" t="n">
        <f aca="false">C9*D9</f>
        <v>15000</v>
      </c>
      <c r="F9" s="40" t="s">
        <v>295</v>
      </c>
      <c r="G9" s="9" t="s">
        <v>423</v>
      </c>
    </row>
    <row r="10" customFormat="false" ht="18" hidden="false" customHeight="true" outlineLevel="0" collapsed="false">
      <c r="B10" s="37" t="s">
        <v>424</v>
      </c>
      <c r="C10" s="8" t="n">
        <v>18000</v>
      </c>
      <c r="D10" s="38" t="n">
        <v>1</v>
      </c>
      <c r="E10" s="39" t="n">
        <f aca="false">C10*D10</f>
        <v>18000</v>
      </c>
      <c r="F10" s="40" t="s">
        <v>288</v>
      </c>
      <c r="G10" s="9" t="s">
        <v>425</v>
      </c>
    </row>
    <row r="11" customFormat="false" ht="18" hidden="false" customHeight="true" outlineLevel="0" collapsed="false">
      <c r="B11" s="37" t="s">
        <v>426</v>
      </c>
      <c r="C11" s="8" t="n">
        <v>8000</v>
      </c>
      <c r="D11" s="38" t="n">
        <v>1</v>
      </c>
      <c r="E11" s="39" t="n">
        <f aca="false">C11*D11</f>
        <v>8000</v>
      </c>
      <c r="F11" s="40" t="s">
        <v>288</v>
      </c>
      <c r="G11" s="9" t="s">
        <v>427</v>
      </c>
    </row>
    <row r="12" customFormat="false" ht="18" hidden="false" customHeight="true" outlineLevel="0" collapsed="false">
      <c r="B12" s="37" t="s">
        <v>428</v>
      </c>
      <c r="C12" s="8" t="n">
        <v>12000</v>
      </c>
      <c r="D12" s="38" t="n">
        <v>1</v>
      </c>
      <c r="E12" s="39" t="n">
        <f aca="false">C12*D12</f>
        <v>12000</v>
      </c>
      <c r="F12" s="40" t="s">
        <v>295</v>
      </c>
      <c r="G12" s="9" t="s">
        <v>429</v>
      </c>
    </row>
    <row r="13" customFormat="false" ht="18" hidden="false" customHeight="true" outlineLevel="0" collapsed="false">
      <c r="B13" s="37" t="s">
        <v>430</v>
      </c>
      <c r="C13" s="8" t="n">
        <v>45000</v>
      </c>
      <c r="D13" s="38" t="n">
        <v>1</v>
      </c>
      <c r="E13" s="39" t="n">
        <f aca="false">C13*D13</f>
        <v>45000</v>
      </c>
      <c r="F13" s="40" t="s">
        <v>295</v>
      </c>
      <c r="G13" s="9" t="s">
        <v>431</v>
      </c>
    </row>
    <row r="14" customFormat="false" ht="18" hidden="false" customHeight="true" outlineLevel="0" collapsed="false">
      <c r="B14" s="37" t="s">
        <v>432</v>
      </c>
      <c r="C14" s="8" t="n">
        <v>45000</v>
      </c>
      <c r="D14" s="38" t="n">
        <v>1</v>
      </c>
      <c r="E14" s="39" t="n">
        <f aca="false">C14*D14</f>
        <v>45000</v>
      </c>
      <c r="F14" s="40" t="s">
        <v>288</v>
      </c>
      <c r="G14" s="9" t="s">
        <v>433</v>
      </c>
    </row>
    <row r="15" customFormat="false" ht="18" hidden="false" customHeight="true" outlineLevel="0" collapsed="false">
      <c r="B15" s="37" t="s">
        <v>434</v>
      </c>
      <c r="C15" s="8" t="n">
        <v>22000</v>
      </c>
      <c r="D15" s="38" t="n">
        <v>2</v>
      </c>
      <c r="E15" s="39" t="n">
        <f aca="false">C15*D15</f>
        <v>44000</v>
      </c>
      <c r="F15" s="40" t="s">
        <v>288</v>
      </c>
      <c r="G15" s="9" t="s">
        <v>435</v>
      </c>
    </row>
    <row r="16" customFormat="false" ht="18" hidden="false" customHeight="true" outlineLevel="0" collapsed="false">
      <c r="B16" s="37" t="s">
        <v>436</v>
      </c>
      <c r="C16" s="8" t="n">
        <v>12000</v>
      </c>
      <c r="D16" s="38" t="n">
        <v>3</v>
      </c>
      <c r="E16" s="39" t="n">
        <f aca="false">C16*D16</f>
        <v>36000</v>
      </c>
      <c r="F16" s="40" t="s">
        <v>295</v>
      </c>
      <c r="G16" s="9" t="s">
        <v>437</v>
      </c>
    </row>
    <row r="17" customFormat="false" ht="18" hidden="false" customHeight="true" outlineLevel="0" collapsed="false">
      <c r="B17" s="37" t="s">
        <v>438</v>
      </c>
      <c r="C17" s="8" t="n">
        <v>28000</v>
      </c>
      <c r="D17" s="38" t="n">
        <v>1</v>
      </c>
      <c r="E17" s="39" t="n">
        <f aca="false">C17*D17</f>
        <v>28000</v>
      </c>
      <c r="F17" s="40" t="s">
        <v>288</v>
      </c>
      <c r="G17" s="9" t="s">
        <v>439</v>
      </c>
    </row>
    <row r="18" customFormat="false" ht="18" hidden="false" customHeight="true" outlineLevel="0" collapsed="false">
      <c r="B18" s="37" t="s">
        <v>440</v>
      </c>
      <c r="C18" s="8" t="n">
        <v>35000</v>
      </c>
      <c r="D18" s="38" t="n">
        <v>1</v>
      </c>
      <c r="E18" s="39" t="n">
        <f aca="false">C18*D18</f>
        <v>35000</v>
      </c>
      <c r="F18" s="40" t="s">
        <v>295</v>
      </c>
      <c r="G18" s="9" t="s">
        <v>441</v>
      </c>
    </row>
    <row r="19" customFormat="false" ht="21.75" hidden="false" customHeight="true" outlineLevel="0" collapsed="false">
      <c r="B19" s="41" t="s">
        <v>442</v>
      </c>
      <c r="C19" s="42"/>
      <c r="D19" s="42"/>
      <c r="E19" s="43" t="n">
        <f aca="false">SUM(E6:E18)</f>
        <v>406000</v>
      </c>
      <c r="F19" s="44"/>
      <c r="G19" s="44"/>
    </row>
    <row r="21" customFormat="false" ht="25.5" hidden="false" customHeight="true" outlineLevel="0" collapsed="false">
      <c r="B21" s="35" t="s">
        <v>443</v>
      </c>
      <c r="C21" s="35"/>
      <c r="D21" s="35"/>
      <c r="E21" s="35"/>
      <c r="F21" s="35"/>
      <c r="G21" s="35"/>
    </row>
    <row r="22" customFormat="false" ht="21.75" hidden="false" customHeight="true" outlineLevel="0" collapsed="false">
      <c r="B22" s="36" t="s">
        <v>281</v>
      </c>
      <c r="C22" s="36" t="s">
        <v>282</v>
      </c>
      <c r="D22" s="36" t="s">
        <v>283</v>
      </c>
      <c r="E22" s="36" t="s">
        <v>284</v>
      </c>
      <c r="F22" s="36" t="s">
        <v>285</v>
      </c>
      <c r="G22" s="36" t="s">
        <v>286</v>
      </c>
    </row>
    <row r="23" customFormat="false" ht="18" hidden="false" customHeight="true" outlineLevel="0" collapsed="false">
      <c r="B23" s="45" t="s">
        <v>444</v>
      </c>
      <c r="C23" s="46" t="n">
        <v>42000</v>
      </c>
      <c r="D23" s="47" t="n">
        <v>1</v>
      </c>
      <c r="E23" s="48" t="n">
        <f aca="false">C23*D23</f>
        <v>42000</v>
      </c>
      <c r="F23" s="49" t="s">
        <v>288</v>
      </c>
      <c r="G23" s="50" t="s">
        <v>445</v>
      </c>
    </row>
    <row r="24" customFormat="false" ht="18" hidden="false" customHeight="true" outlineLevel="0" collapsed="false">
      <c r="B24" s="45" t="s">
        <v>446</v>
      </c>
      <c r="C24" s="46" t="n">
        <v>55000</v>
      </c>
      <c r="D24" s="47" t="n">
        <v>1</v>
      </c>
      <c r="E24" s="48" t="n">
        <f aca="false">C24*D24</f>
        <v>55000</v>
      </c>
      <c r="F24" s="49" t="s">
        <v>288</v>
      </c>
      <c r="G24" s="50" t="s">
        <v>447</v>
      </c>
    </row>
    <row r="25" customFormat="false" ht="18" hidden="false" customHeight="true" outlineLevel="0" collapsed="false">
      <c r="B25" s="45" t="s">
        <v>448</v>
      </c>
      <c r="C25" s="46" t="n">
        <v>12000</v>
      </c>
      <c r="D25" s="47" t="n">
        <v>2</v>
      </c>
      <c r="E25" s="48" t="n">
        <f aca="false">C25*D25</f>
        <v>24000</v>
      </c>
      <c r="F25" s="49" t="s">
        <v>288</v>
      </c>
      <c r="G25" s="50" t="s">
        <v>449</v>
      </c>
    </row>
    <row r="26" customFormat="false" ht="18" hidden="false" customHeight="true" outlineLevel="0" collapsed="false">
      <c r="B26" s="45" t="s">
        <v>450</v>
      </c>
      <c r="C26" s="46" t="n">
        <v>15000</v>
      </c>
      <c r="D26" s="47" t="n">
        <v>1</v>
      </c>
      <c r="E26" s="48" t="n">
        <f aca="false">C26*D26</f>
        <v>15000</v>
      </c>
      <c r="F26" s="49" t="s">
        <v>288</v>
      </c>
      <c r="G26" s="50" t="s">
        <v>451</v>
      </c>
    </row>
    <row r="27" customFormat="false" ht="18" hidden="false" customHeight="true" outlineLevel="0" collapsed="false">
      <c r="B27" s="45" t="s">
        <v>452</v>
      </c>
      <c r="C27" s="46" t="n">
        <v>6000</v>
      </c>
      <c r="D27" s="47" t="n">
        <v>1</v>
      </c>
      <c r="E27" s="48" t="n">
        <f aca="false">C27*D27</f>
        <v>6000</v>
      </c>
      <c r="F27" s="49" t="s">
        <v>288</v>
      </c>
      <c r="G27" s="50" t="s">
        <v>453</v>
      </c>
    </row>
    <row r="28" customFormat="false" ht="18" hidden="false" customHeight="true" outlineLevel="0" collapsed="false">
      <c r="B28" s="45" t="s">
        <v>454</v>
      </c>
      <c r="C28" s="46" t="n">
        <v>2500</v>
      </c>
      <c r="D28" s="47" t="n">
        <v>2</v>
      </c>
      <c r="E28" s="48" t="n">
        <f aca="false">C28*D28</f>
        <v>5000</v>
      </c>
      <c r="F28" s="49" t="s">
        <v>288</v>
      </c>
      <c r="G28" s="50" t="s">
        <v>455</v>
      </c>
    </row>
    <row r="29" customFormat="false" ht="18" hidden="false" customHeight="true" outlineLevel="0" collapsed="false">
      <c r="B29" s="45" t="s">
        <v>456</v>
      </c>
      <c r="C29" s="46" t="n">
        <v>7000</v>
      </c>
      <c r="D29" s="47" t="n">
        <v>1</v>
      </c>
      <c r="E29" s="48" t="n">
        <f aca="false">C29*D29</f>
        <v>7000</v>
      </c>
      <c r="F29" s="49" t="s">
        <v>295</v>
      </c>
      <c r="G29" s="50" t="s">
        <v>457</v>
      </c>
    </row>
    <row r="30" customFormat="false" ht="15.75" hidden="false" customHeight="true" outlineLevel="0" collapsed="false">
      <c r="B30" s="37" t="s">
        <v>458</v>
      </c>
      <c r="C30" s="55" t="n">
        <v>13000</v>
      </c>
      <c r="D30" s="56" t="n">
        <v>2</v>
      </c>
      <c r="E30" s="57" t="n">
        <f aca="false">C30*D30</f>
        <v>26000</v>
      </c>
      <c r="F30" s="58" t="s">
        <v>288</v>
      </c>
    </row>
    <row r="31" customFormat="false" ht="15.75" hidden="false" customHeight="true" outlineLevel="0" collapsed="false">
      <c r="B31" s="10" t="s">
        <v>459</v>
      </c>
      <c r="C31" s="59" t="n">
        <v>8500</v>
      </c>
      <c r="D31" s="60" t="n">
        <v>2</v>
      </c>
      <c r="E31" s="61" t="n">
        <f aca="false">C31*D31</f>
        <v>17000</v>
      </c>
      <c r="F31" s="62" t="s">
        <v>288</v>
      </c>
    </row>
    <row r="32" customFormat="false" ht="15.75" hidden="false" customHeight="true" outlineLevel="0" collapsed="false">
      <c r="B32" s="37" t="s">
        <v>460</v>
      </c>
      <c r="C32" s="55" t="n">
        <v>58000</v>
      </c>
      <c r="D32" s="56" t="n">
        <v>1</v>
      </c>
      <c r="E32" s="57" t="n">
        <f aca="false">C32*D32</f>
        <v>58000</v>
      </c>
      <c r="F32" s="58" t="s">
        <v>288</v>
      </c>
    </row>
    <row r="33" customFormat="false" ht="21.75" hidden="false" customHeight="true" outlineLevel="0" collapsed="false"/>
    <row r="34" customFormat="false" ht="18" hidden="false" customHeight="true" outlineLevel="0" collapsed="false">
      <c r="B34" s="41" t="s">
        <v>461</v>
      </c>
      <c r="C34" s="63"/>
      <c r="E34" s="43" t="n">
        <f aca="false">SUM(E23:E33)</f>
        <v>255000</v>
      </c>
      <c r="F34" s="44"/>
      <c r="G34" s="44"/>
    </row>
    <row r="35" customFormat="false" ht="18" hidden="false" customHeight="true" outlineLevel="0" collapsed="false"/>
    <row r="36" customFormat="false" ht="18" hidden="false" customHeight="true" outlineLevel="0" collapsed="false">
      <c r="B36" s="64" t="s">
        <v>462</v>
      </c>
    </row>
    <row r="37" customFormat="false" ht="18" hidden="false" customHeight="true" outlineLevel="0" collapsed="false">
      <c r="B37" s="36" t="s">
        <v>281</v>
      </c>
      <c r="C37" s="36" t="s">
        <v>282</v>
      </c>
      <c r="D37" s="36" t="s">
        <v>283</v>
      </c>
      <c r="E37" s="36" t="s">
        <v>284</v>
      </c>
      <c r="F37" s="36" t="s">
        <v>285</v>
      </c>
      <c r="G37" s="36" t="s">
        <v>286</v>
      </c>
    </row>
    <row r="38" customFormat="false" ht="18" hidden="false" customHeight="true" outlineLevel="0" collapsed="false">
      <c r="B38" s="37" t="s">
        <v>463</v>
      </c>
      <c r="C38" s="55" t="n">
        <v>30000</v>
      </c>
      <c r="D38" s="56" t="n">
        <v>1</v>
      </c>
      <c r="E38" s="57" t="n">
        <f aca="false">C38*D38</f>
        <v>30000</v>
      </c>
      <c r="F38" s="58" t="s">
        <v>288</v>
      </c>
      <c r="G38" s="9" t="s">
        <v>464</v>
      </c>
    </row>
    <row r="39" customFormat="false" ht="18" hidden="false" customHeight="true" outlineLevel="0" collapsed="false">
      <c r="B39" s="10" t="s">
        <v>465</v>
      </c>
      <c r="C39" s="59" t="n">
        <v>7000</v>
      </c>
      <c r="D39" s="60" t="n">
        <v>1</v>
      </c>
      <c r="E39" s="61" t="n">
        <f aca="false">C39*D39</f>
        <v>7000</v>
      </c>
      <c r="F39" s="62" t="s">
        <v>288</v>
      </c>
      <c r="G39" s="9" t="s">
        <v>466</v>
      </c>
    </row>
    <row r="40" customFormat="false" ht="18" hidden="false" customHeight="true" outlineLevel="0" collapsed="false">
      <c r="B40" s="37" t="s">
        <v>467</v>
      </c>
      <c r="C40" s="55" t="n">
        <v>10000</v>
      </c>
      <c r="D40" s="56" t="n">
        <v>1</v>
      </c>
      <c r="E40" s="57" t="n">
        <f aca="false">C40*D40</f>
        <v>10000</v>
      </c>
      <c r="F40" s="58" t="s">
        <v>288</v>
      </c>
      <c r="G40" s="9" t="s">
        <v>468</v>
      </c>
    </row>
    <row r="41" customFormat="false" ht="18" hidden="false" customHeight="true" outlineLevel="0" collapsed="false">
      <c r="B41" s="10" t="s">
        <v>469</v>
      </c>
      <c r="C41" s="59" t="n">
        <v>3500</v>
      </c>
      <c r="D41" s="60" t="n">
        <v>1</v>
      </c>
      <c r="E41" s="61" t="n">
        <f aca="false">C41*D41</f>
        <v>3500</v>
      </c>
      <c r="F41" s="62" t="s">
        <v>288</v>
      </c>
      <c r="G41" s="9" t="s">
        <v>470</v>
      </c>
    </row>
    <row r="42" customFormat="false" ht="18" hidden="false" customHeight="true" outlineLevel="0" collapsed="false">
      <c r="B42" s="37" t="s">
        <v>471</v>
      </c>
      <c r="C42" s="55" t="n">
        <v>22000</v>
      </c>
      <c r="D42" s="56" t="n">
        <v>1</v>
      </c>
      <c r="E42" s="57" t="n">
        <f aca="false">C42*D42</f>
        <v>22000</v>
      </c>
      <c r="F42" s="58" t="s">
        <v>288</v>
      </c>
      <c r="G42" s="9" t="s">
        <v>472</v>
      </c>
    </row>
    <row r="43" customFormat="false" ht="18" hidden="false" customHeight="true" outlineLevel="0" collapsed="false">
      <c r="B43" s="10" t="s">
        <v>473</v>
      </c>
      <c r="C43" s="59" t="n">
        <v>22000</v>
      </c>
      <c r="D43" s="60" t="n">
        <v>1</v>
      </c>
      <c r="E43" s="61" t="n">
        <f aca="false">C43*D43</f>
        <v>22000</v>
      </c>
      <c r="F43" s="62" t="s">
        <v>288</v>
      </c>
      <c r="G43" s="9" t="s">
        <v>474</v>
      </c>
    </row>
    <row r="44" customFormat="false" ht="21.75" hidden="false" customHeight="true" outlineLevel="0" collapsed="false">
      <c r="B44" s="37" t="s">
        <v>475</v>
      </c>
      <c r="C44" s="55" t="n">
        <v>9000</v>
      </c>
      <c r="D44" s="56" t="n">
        <v>1</v>
      </c>
      <c r="E44" s="57" t="n">
        <f aca="false">C44*D44</f>
        <v>9000</v>
      </c>
      <c r="F44" s="58" t="s">
        <v>288</v>
      </c>
      <c r="G44" s="9" t="s">
        <v>476</v>
      </c>
    </row>
    <row r="45" customFormat="false" ht="21.75" hidden="false" customHeight="true" outlineLevel="0" collapsed="false">
      <c r="B45" s="10" t="s">
        <v>477</v>
      </c>
      <c r="C45" s="59" t="n">
        <v>9000</v>
      </c>
      <c r="D45" s="60" t="n">
        <v>1</v>
      </c>
      <c r="E45" s="61" t="n">
        <f aca="false">C45*D45</f>
        <v>9000</v>
      </c>
      <c r="F45" s="62" t="s">
        <v>288</v>
      </c>
      <c r="G45" s="9" t="s">
        <v>478</v>
      </c>
    </row>
    <row r="46" customFormat="false" ht="30" hidden="false" customHeight="true" outlineLevel="0" collapsed="false">
      <c r="B46" s="37" t="s">
        <v>479</v>
      </c>
      <c r="C46" s="55" t="n">
        <v>9000</v>
      </c>
      <c r="D46" s="56" t="n">
        <v>1</v>
      </c>
      <c r="E46" s="57" t="n">
        <f aca="false">C46*D46</f>
        <v>9000</v>
      </c>
      <c r="F46" s="58" t="s">
        <v>295</v>
      </c>
      <c r="G46" s="9" t="s">
        <v>480</v>
      </c>
    </row>
    <row r="47" customFormat="false" ht="15" hidden="false" customHeight="true" outlineLevel="0" collapsed="false">
      <c r="B47" s="10" t="s">
        <v>481</v>
      </c>
      <c r="C47" s="59" t="n">
        <v>4000</v>
      </c>
      <c r="D47" s="60" t="n">
        <v>1</v>
      </c>
      <c r="E47" s="61" t="n">
        <f aca="false">C47*D47</f>
        <v>4000</v>
      </c>
      <c r="F47" s="62" t="s">
        <v>288</v>
      </c>
      <c r="G47" s="9" t="s">
        <v>482</v>
      </c>
    </row>
    <row r="48" customFormat="false" ht="15" hidden="false" customHeight="true" outlineLevel="0" collapsed="false">
      <c r="B48" s="41" t="s">
        <v>483</v>
      </c>
      <c r="C48" s="63"/>
      <c r="E48" s="65" t="n">
        <f aca="false">SUM(E38:E47)</f>
        <v>125500</v>
      </c>
      <c r="F48" s="44"/>
      <c r="G48" s="44"/>
    </row>
    <row r="50" customFormat="false" ht="17.25" hidden="false" customHeight="true" outlineLevel="0" collapsed="false">
      <c r="B50" s="66" t="s">
        <v>484</v>
      </c>
      <c r="C50" s="67"/>
      <c r="D50" s="67"/>
      <c r="E50" s="68" t="n">
        <f aca="false">E19+E34+E48+E68+E85</f>
        <v>1090100</v>
      </c>
      <c r="F50" s="69"/>
      <c r="G50" s="69"/>
    </row>
    <row r="51" customFormat="false" ht="7.5" hidden="false" customHeight="true" outlineLevel="0" collapsed="false"/>
    <row r="52" customFormat="false" ht="19.5" hidden="false" customHeight="true" outlineLevel="0" collapsed="false">
      <c r="B52" s="70" t="s">
        <v>485</v>
      </c>
    </row>
    <row r="53" customFormat="false" ht="15" hidden="false" customHeight="true" outlineLevel="0" collapsed="false">
      <c r="B53" s="71" t="s">
        <v>281</v>
      </c>
      <c r="C53" s="72" t="s">
        <v>282</v>
      </c>
      <c r="D53" s="72" t="s">
        <v>283</v>
      </c>
      <c r="E53" s="72" t="s">
        <v>284</v>
      </c>
      <c r="F53" s="72" t="s">
        <v>285</v>
      </c>
    </row>
    <row r="54" customFormat="false" ht="15.75" hidden="false" customHeight="true" outlineLevel="0" collapsed="false">
      <c r="B54" s="37" t="s">
        <v>486</v>
      </c>
      <c r="C54" s="55" t="n">
        <v>18000</v>
      </c>
      <c r="D54" s="56" t="n">
        <v>1</v>
      </c>
      <c r="E54" s="57" t="n">
        <f aca="false">C54*D54</f>
        <v>18000</v>
      </c>
      <c r="F54" s="58" t="s">
        <v>288</v>
      </c>
    </row>
    <row r="55" customFormat="false" ht="15.75" hidden="false" customHeight="true" outlineLevel="0" collapsed="false">
      <c r="B55" s="10" t="s">
        <v>487</v>
      </c>
      <c r="C55" s="59" t="n">
        <v>8500</v>
      </c>
      <c r="D55" s="60" t="n">
        <v>2</v>
      </c>
      <c r="E55" s="61" t="n">
        <f aca="false">C55*D55</f>
        <v>17000</v>
      </c>
      <c r="F55" s="62" t="s">
        <v>288</v>
      </c>
    </row>
    <row r="56" customFormat="false" ht="15.75" hidden="false" customHeight="true" outlineLevel="0" collapsed="false">
      <c r="B56" s="37" t="s">
        <v>488</v>
      </c>
      <c r="C56" s="55" t="n">
        <v>4500</v>
      </c>
      <c r="D56" s="56" t="n">
        <v>2</v>
      </c>
      <c r="E56" s="57" t="n">
        <f aca="false">C56*D56</f>
        <v>9000</v>
      </c>
      <c r="F56" s="58" t="s">
        <v>288</v>
      </c>
    </row>
    <row r="57" customFormat="false" ht="15.75" hidden="false" customHeight="true" outlineLevel="0" collapsed="false">
      <c r="B57" s="10" t="s">
        <v>489</v>
      </c>
      <c r="C57" s="59" t="n">
        <v>18000</v>
      </c>
      <c r="D57" s="60" t="n">
        <v>1</v>
      </c>
      <c r="E57" s="61" t="n">
        <f aca="false">C57*D57</f>
        <v>18000</v>
      </c>
      <c r="F57" s="62" t="s">
        <v>288</v>
      </c>
    </row>
    <row r="58" customFormat="false" ht="15.75" hidden="false" customHeight="true" outlineLevel="0" collapsed="false">
      <c r="B58" s="37" t="s">
        <v>490</v>
      </c>
      <c r="C58" s="55" t="n">
        <v>22000</v>
      </c>
      <c r="D58" s="56" t="n">
        <v>1</v>
      </c>
      <c r="E58" s="57" t="n">
        <f aca="false">C58*D58</f>
        <v>22000</v>
      </c>
      <c r="F58" s="58" t="s">
        <v>295</v>
      </c>
    </row>
    <row r="59" customFormat="false" ht="15.75" hidden="false" customHeight="true" outlineLevel="0" collapsed="false">
      <c r="B59" s="10" t="s">
        <v>491</v>
      </c>
      <c r="C59" s="59" t="n">
        <v>9000</v>
      </c>
      <c r="D59" s="60" t="n">
        <v>1</v>
      </c>
      <c r="E59" s="61" t="n">
        <f aca="false">C59*D59</f>
        <v>9000</v>
      </c>
      <c r="F59" s="62" t="s">
        <v>288</v>
      </c>
    </row>
    <row r="60" customFormat="false" ht="15.75" hidden="false" customHeight="true" outlineLevel="0" collapsed="false">
      <c r="B60" s="37" t="s">
        <v>492</v>
      </c>
      <c r="C60" s="55" t="n">
        <v>8500</v>
      </c>
      <c r="D60" s="56" t="n">
        <v>2</v>
      </c>
      <c r="E60" s="57" t="n">
        <f aca="false">C60*D60</f>
        <v>17000</v>
      </c>
      <c r="F60" s="58" t="s">
        <v>288</v>
      </c>
    </row>
    <row r="61" customFormat="false" ht="15.75" hidden="false" customHeight="true" outlineLevel="0" collapsed="false">
      <c r="B61" s="10" t="s">
        <v>493</v>
      </c>
      <c r="C61" s="59" t="n">
        <v>16000</v>
      </c>
      <c r="D61" s="60" t="n">
        <v>1</v>
      </c>
      <c r="E61" s="61" t="n">
        <f aca="false">C61*D61</f>
        <v>16000</v>
      </c>
      <c r="F61" s="62" t="s">
        <v>295</v>
      </c>
    </row>
    <row r="62" customFormat="false" ht="15.75" hidden="false" customHeight="true" outlineLevel="0" collapsed="false">
      <c r="B62" s="37" t="s">
        <v>494</v>
      </c>
      <c r="C62" s="55" t="n">
        <v>5500</v>
      </c>
      <c r="D62" s="56" t="n">
        <v>2</v>
      </c>
      <c r="E62" s="57" t="n">
        <f aca="false">C62*D62</f>
        <v>11000</v>
      </c>
      <c r="F62" s="58" t="s">
        <v>288</v>
      </c>
    </row>
    <row r="63" customFormat="false" ht="15.75" hidden="false" customHeight="true" outlineLevel="0" collapsed="false">
      <c r="B63" s="10" t="s">
        <v>495</v>
      </c>
      <c r="C63" s="59" t="n">
        <v>4500</v>
      </c>
      <c r="D63" s="60" t="n">
        <v>4</v>
      </c>
      <c r="E63" s="61" t="n">
        <f aca="false">C63*D63</f>
        <v>18000</v>
      </c>
      <c r="F63" s="62" t="s">
        <v>295</v>
      </c>
    </row>
    <row r="64" customFormat="false" ht="15.75" hidden="false" customHeight="true" outlineLevel="0" collapsed="false">
      <c r="B64" s="37" t="s">
        <v>496</v>
      </c>
      <c r="C64" s="55" t="n">
        <v>9000</v>
      </c>
      <c r="D64" s="56" t="n">
        <v>1</v>
      </c>
      <c r="E64" s="57" t="n">
        <f aca="false">C64*D64</f>
        <v>9000</v>
      </c>
      <c r="F64" s="58" t="s">
        <v>288</v>
      </c>
    </row>
    <row r="65" customFormat="false" ht="15.75" hidden="false" customHeight="true" outlineLevel="0" collapsed="false">
      <c r="B65" s="10" t="s">
        <v>497</v>
      </c>
      <c r="C65" s="59" t="n">
        <v>3500</v>
      </c>
      <c r="D65" s="60" t="n">
        <v>1</v>
      </c>
      <c r="E65" s="61" t="n">
        <f aca="false">C65*D65</f>
        <v>3500</v>
      </c>
      <c r="F65" s="62" t="s">
        <v>288</v>
      </c>
    </row>
    <row r="66" customFormat="false" ht="15.75" hidden="false" customHeight="true" outlineLevel="0" collapsed="false">
      <c r="B66" s="37" t="s">
        <v>498</v>
      </c>
      <c r="C66" s="55" t="n">
        <v>4500</v>
      </c>
      <c r="D66" s="56" t="n">
        <v>1</v>
      </c>
      <c r="E66" s="57" t="n">
        <f aca="false">C66*D66</f>
        <v>4500</v>
      </c>
      <c r="F66" s="58" t="s">
        <v>288</v>
      </c>
    </row>
    <row r="67" customFormat="false" ht="15.75" hidden="false" customHeight="true" outlineLevel="0" collapsed="false">
      <c r="B67" s="10" t="s">
        <v>499</v>
      </c>
      <c r="C67" s="59" t="n">
        <v>800</v>
      </c>
      <c r="D67" s="60" t="n">
        <v>4</v>
      </c>
      <c r="E67" s="61" t="n">
        <f aca="false">C67*D67</f>
        <v>3200</v>
      </c>
      <c r="F67" s="62" t="s">
        <v>288</v>
      </c>
    </row>
    <row r="68" customFormat="false" ht="18" hidden="false" customHeight="true" outlineLevel="0" collapsed="false">
      <c r="B68" s="73" t="s">
        <v>500</v>
      </c>
      <c r="C68" s="44"/>
      <c r="D68" s="44"/>
      <c r="E68" s="65" t="n">
        <f aca="false">SUM(E54:E67)</f>
        <v>175200</v>
      </c>
      <c r="F68" s="44"/>
    </row>
    <row r="70" customFormat="false" ht="7.5" hidden="false" customHeight="true" outlineLevel="0" collapsed="false"/>
    <row r="71" customFormat="false" ht="19.5" hidden="false" customHeight="true" outlineLevel="0" collapsed="false">
      <c r="B71" s="70" t="s">
        <v>501</v>
      </c>
    </row>
    <row r="72" customFormat="false" ht="15" hidden="false" customHeight="true" outlineLevel="0" collapsed="false">
      <c r="B72" s="71" t="s">
        <v>281</v>
      </c>
      <c r="C72" s="72" t="s">
        <v>282</v>
      </c>
      <c r="D72" s="72" t="s">
        <v>283</v>
      </c>
      <c r="E72" s="72" t="s">
        <v>284</v>
      </c>
      <c r="F72" s="72" t="s">
        <v>285</v>
      </c>
    </row>
    <row r="73" customFormat="false" ht="15.75" hidden="false" customHeight="true" outlineLevel="0" collapsed="false">
      <c r="B73" s="37" t="s">
        <v>502</v>
      </c>
      <c r="C73" s="55" t="n">
        <v>14000</v>
      </c>
      <c r="D73" s="56" t="n">
        <v>2</v>
      </c>
      <c r="E73" s="57" t="n">
        <f aca="false">C73*D73</f>
        <v>28000</v>
      </c>
      <c r="F73" s="58" t="s">
        <v>288</v>
      </c>
    </row>
    <row r="74" customFormat="false" ht="15.75" hidden="false" customHeight="true" outlineLevel="0" collapsed="false">
      <c r="B74" s="10" t="s">
        <v>503</v>
      </c>
      <c r="C74" s="59" t="n">
        <v>10000</v>
      </c>
      <c r="D74" s="60" t="n">
        <v>2</v>
      </c>
      <c r="E74" s="61" t="n">
        <f aca="false">C74*D74</f>
        <v>20000</v>
      </c>
      <c r="F74" s="62" t="s">
        <v>288</v>
      </c>
    </row>
    <row r="75" customFormat="false" ht="15.75" hidden="false" customHeight="true" outlineLevel="0" collapsed="false">
      <c r="B75" s="37" t="s">
        <v>504</v>
      </c>
      <c r="C75" s="55" t="n">
        <v>7500</v>
      </c>
      <c r="D75" s="56" t="n">
        <v>2</v>
      </c>
      <c r="E75" s="57" t="n">
        <f aca="false">C75*D75</f>
        <v>15000</v>
      </c>
      <c r="F75" s="58" t="s">
        <v>288</v>
      </c>
    </row>
    <row r="76" customFormat="false" ht="15.75" hidden="false" customHeight="true" outlineLevel="0" collapsed="false">
      <c r="B76" s="10" t="s">
        <v>505</v>
      </c>
      <c r="C76" s="59" t="n">
        <v>6500</v>
      </c>
      <c r="D76" s="60" t="n">
        <v>1</v>
      </c>
      <c r="E76" s="61" t="n">
        <f aca="false">C76*D76</f>
        <v>6500</v>
      </c>
      <c r="F76" s="62" t="s">
        <v>288</v>
      </c>
    </row>
    <row r="77" customFormat="false" ht="15.75" hidden="false" customHeight="true" outlineLevel="0" collapsed="false">
      <c r="B77" s="37" t="s">
        <v>506</v>
      </c>
      <c r="C77" s="55" t="n">
        <v>4500</v>
      </c>
      <c r="D77" s="56" t="n">
        <v>4</v>
      </c>
      <c r="E77" s="57" t="n">
        <f aca="false">C77*D77</f>
        <v>18000</v>
      </c>
      <c r="F77" s="58" t="s">
        <v>288</v>
      </c>
    </row>
    <row r="78" customFormat="false" ht="15.75" hidden="false" customHeight="true" outlineLevel="0" collapsed="false">
      <c r="B78" s="10" t="s">
        <v>507</v>
      </c>
      <c r="C78" s="59" t="n">
        <v>3200</v>
      </c>
      <c r="D78" s="60" t="n">
        <v>4</v>
      </c>
      <c r="E78" s="61" t="n">
        <f aca="false">C78*D78</f>
        <v>12800</v>
      </c>
      <c r="F78" s="62" t="s">
        <v>288</v>
      </c>
    </row>
    <row r="79" customFormat="false" ht="15.75" hidden="false" customHeight="true" outlineLevel="0" collapsed="false">
      <c r="B79" s="37" t="s">
        <v>508</v>
      </c>
      <c r="C79" s="55" t="n">
        <v>600</v>
      </c>
      <c r="D79" s="56" t="n">
        <v>12</v>
      </c>
      <c r="E79" s="57" t="n">
        <f aca="false">C79*D79</f>
        <v>7200</v>
      </c>
      <c r="F79" s="58" t="s">
        <v>288</v>
      </c>
    </row>
    <row r="80" customFormat="false" ht="15.75" hidden="false" customHeight="true" outlineLevel="0" collapsed="false">
      <c r="B80" s="10" t="s">
        <v>509</v>
      </c>
      <c r="C80" s="59" t="n">
        <v>2500</v>
      </c>
      <c r="D80" s="60" t="n">
        <v>1</v>
      </c>
      <c r="E80" s="61" t="n">
        <f aca="false">C80*D80</f>
        <v>2500</v>
      </c>
      <c r="F80" s="62" t="s">
        <v>288</v>
      </c>
    </row>
    <row r="81" customFormat="false" ht="15.75" hidden="false" customHeight="true" outlineLevel="0" collapsed="false">
      <c r="B81" s="37" t="s">
        <v>510</v>
      </c>
      <c r="C81" s="55" t="n">
        <v>1200</v>
      </c>
      <c r="D81" s="56" t="n">
        <v>4</v>
      </c>
      <c r="E81" s="57" t="n">
        <f aca="false">C81*D81</f>
        <v>4800</v>
      </c>
      <c r="F81" s="58" t="s">
        <v>288</v>
      </c>
    </row>
    <row r="82" customFormat="false" ht="15.75" hidden="false" customHeight="true" outlineLevel="0" collapsed="false">
      <c r="B82" s="10" t="s">
        <v>511</v>
      </c>
      <c r="C82" s="59" t="n">
        <v>1800</v>
      </c>
      <c r="D82" s="60" t="n">
        <v>3</v>
      </c>
      <c r="E82" s="61" t="n">
        <f aca="false">C82*D82</f>
        <v>5400</v>
      </c>
      <c r="F82" s="62" t="s">
        <v>288</v>
      </c>
    </row>
    <row r="83" customFormat="false" ht="15.75" hidden="false" customHeight="true" outlineLevel="0" collapsed="false">
      <c r="B83" s="37" t="s">
        <v>512</v>
      </c>
      <c r="C83" s="55" t="n">
        <v>800</v>
      </c>
      <c r="D83" s="56" t="n">
        <v>4</v>
      </c>
      <c r="E83" s="57" t="n">
        <f aca="false">C83*D83</f>
        <v>3200</v>
      </c>
      <c r="F83" s="58" t="s">
        <v>288</v>
      </c>
    </row>
    <row r="84" customFormat="false" ht="15.75" hidden="false" customHeight="true" outlineLevel="0" collapsed="false">
      <c r="B84" s="10" t="s">
        <v>513</v>
      </c>
      <c r="C84" s="59" t="n">
        <v>2500</v>
      </c>
      <c r="D84" s="60" t="n">
        <v>2</v>
      </c>
      <c r="E84" s="61" t="n">
        <f aca="false">C84*D84</f>
        <v>5000</v>
      </c>
      <c r="F84" s="62" t="s">
        <v>288</v>
      </c>
    </row>
    <row r="85" customFormat="false" ht="18" hidden="false" customHeight="true" outlineLevel="0" collapsed="false">
      <c r="B85" s="73" t="s">
        <v>514</v>
      </c>
      <c r="C85" s="44"/>
      <c r="D85" s="44"/>
      <c r="E85" s="65" t="n">
        <f aca="false">SUM(E73:E84)</f>
        <v>128400</v>
      </c>
      <c r="F85" s="44"/>
    </row>
  </sheetData>
  <mergeCells count="5">
    <mergeCell ref="B1:G1"/>
    <mergeCell ref="B2:G2"/>
    <mergeCell ref="B4:G4"/>
    <mergeCell ref="C19:D19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16"/>
    <col collapsed="false" customWidth="true" hidden="false" outlineLevel="0" max="7" min="7" style="1" width="24"/>
    <col collapsed="false" customWidth="true" hidden="false" outlineLevel="0" max="8" min="8" style="1" width="4"/>
  </cols>
  <sheetData>
    <row r="1" customFormat="false" ht="36" hidden="false" customHeight="true" outlineLevel="0" collapsed="false">
      <c r="B1" s="74" t="s">
        <v>515</v>
      </c>
      <c r="C1" s="74"/>
      <c r="D1" s="74"/>
      <c r="E1" s="74"/>
      <c r="F1" s="74"/>
      <c r="G1" s="74"/>
    </row>
    <row r="3" customFormat="false" ht="25.5" hidden="false" customHeight="true" outlineLevel="0" collapsed="false">
      <c r="B3" s="35" t="s">
        <v>516</v>
      </c>
      <c r="C3" s="35"/>
      <c r="D3" s="35"/>
      <c r="E3" s="35"/>
      <c r="F3" s="35"/>
      <c r="G3" s="35"/>
    </row>
    <row r="4" customFormat="false" ht="21.75" hidden="false" customHeight="true" outlineLevel="0" collapsed="false">
      <c r="B4" s="36" t="s">
        <v>281</v>
      </c>
      <c r="C4" s="36" t="s">
        <v>282</v>
      </c>
      <c r="D4" s="36" t="s">
        <v>283</v>
      </c>
      <c r="E4" s="36" t="s">
        <v>284</v>
      </c>
      <c r="F4" s="36" t="s">
        <v>285</v>
      </c>
      <c r="G4" s="36" t="s">
        <v>286</v>
      </c>
    </row>
    <row r="5" customFormat="false" ht="18" hidden="false" customHeight="true" outlineLevel="0" collapsed="false">
      <c r="B5" s="37" t="s">
        <v>517</v>
      </c>
      <c r="C5" s="8" t="n">
        <v>38000</v>
      </c>
      <c r="D5" s="38" t="n">
        <v>1</v>
      </c>
      <c r="E5" s="39" t="n">
        <f aca="false">C5*D5</f>
        <v>38000</v>
      </c>
      <c r="F5" s="40" t="s">
        <v>288</v>
      </c>
      <c r="G5" s="9" t="s">
        <v>518</v>
      </c>
    </row>
    <row r="6" customFormat="false" ht="18" hidden="false" customHeight="true" outlineLevel="0" collapsed="false">
      <c r="B6" s="37" t="s">
        <v>519</v>
      </c>
      <c r="C6" s="8" t="n">
        <v>28000</v>
      </c>
      <c r="D6" s="38" t="n">
        <v>1</v>
      </c>
      <c r="E6" s="39" t="n">
        <f aca="false">C6*D6</f>
        <v>28000</v>
      </c>
      <c r="F6" s="40" t="s">
        <v>288</v>
      </c>
      <c r="G6" s="9" t="s">
        <v>520</v>
      </c>
    </row>
    <row r="7" customFormat="false" ht="18" hidden="false" customHeight="true" outlineLevel="0" collapsed="false">
      <c r="B7" s="37" t="s">
        <v>521</v>
      </c>
      <c r="C7" s="8" t="n">
        <v>12000</v>
      </c>
      <c r="D7" s="38" t="n">
        <v>1</v>
      </c>
      <c r="E7" s="39" t="n">
        <f aca="false">C7*D7</f>
        <v>12000</v>
      </c>
      <c r="F7" s="40" t="s">
        <v>288</v>
      </c>
      <c r="G7" s="9" t="s">
        <v>522</v>
      </c>
    </row>
    <row r="8" customFormat="false" ht="18" hidden="false" customHeight="true" outlineLevel="0" collapsed="false">
      <c r="B8" s="37" t="s">
        <v>523</v>
      </c>
      <c r="C8" s="8" t="n">
        <v>10000</v>
      </c>
      <c r="D8" s="38" t="n">
        <v>1</v>
      </c>
      <c r="E8" s="39" t="n">
        <f aca="false">C8*D8</f>
        <v>10000</v>
      </c>
      <c r="F8" s="40" t="s">
        <v>288</v>
      </c>
      <c r="G8" s="9" t="s">
        <v>524</v>
      </c>
    </row>
    <row r="9" customFormat="false" ht="18" hidden="false" customHeight="true" outlineLevel="0" collapsed="false">
      <c r="B9" s="37" t="s">
        <v>525</v>
      </c>
      <c r="C9" s="8" t="n">
        <v>14000</v>
      </c>
      <c r="D9" s="38" t="n">
        <v>1</v>
      </c>
      <c r="E9" s="39" t="n">
        <f aca="false">C9*D9</f>
        <v>14000</v>
      </c>
      <c r="F9" s="40" t="s">
        <v>288</v>
      </c>
      <c r="G9" s="9" t="s">
        <v>526</v>
      </c>
    </row>
    <row r="10" customFormat="false" ht="18" hidden="false" customHeight="true" outlineLevel="0" collapsed="false">
      <c r="B10" s="37" t="s">
        <v>527</v>
      </c>
      <c r="C10" s="8" t="n">
        <v>8000</v>
      </c>
      <c r="D10" s="38" t="n">
        <v>1</v>
      </c>
      <c r="E10" s="39" t="n">
        <f aca="false">C10*D10</f>
        <v>8000</v>
      </c>
      <c r="F10" s="40" t="s">
        <v>288</v>
      </c>
      <c r="G10" s="9" t="s">
        <v>528</v>
      </c>
    </row>
    <row r="11" customFormat="false" ht="18" hidden="false" customHeight="true" outlineLevel="0" collapsed="false">
      <c r="B11" s="37" t="s">
        <v>529</v>
      </c>
      <c r="C11" s="8" t="n">
        <v>12000</v>
      </c>
      <c r="D11" s="38" t="n">
        <v>1</v>
      </c>
      <c r="E11" s="39" t="n">
        <f aca="false">C11*D11</f>
        <v>12000</v>
      </c>
      <c r="F11" s="40" t="s">
        <v>288</v>
      </c>
      <c r="G11" s="9" t="s">
        <v>530</v>
      </c>
    </row>
    <row r="12" customFormat="false" ht="18" hidden="false" customHeight="true" outlineLevel="0" collapsed="false">
      <c r="B12" s="37" t="s">
        <v>531</v>
      </c>
      <c r="C12" s="8" t="n">
        <v>35000</v>
      </c>
      <c r="D12" s="38" t="n">
        <v>1</v>
      </c>
      <c r="E12" s="39" t="n">
        <f aca="false">C12*D12</f>
        <v>35000</v>
      </c>
      <c r="F12" s="40" t="s">
        <v>295</v>
      </c>
      <c r="G12" s="9" t="s">
        <v>532</v>
      </c>
    </row>
    <row r="13" customFormat="false" ht="18" hidden="false" customHeight="true" outlineLevel="0" collapsed="false">
      <c r="B13" s="37" t="s">
        <v>533</v>
      </c>
      <c r="C13" s="8" t="n">
        <v>25000</v>
      </c>
      <c r="D13" s="38" t="n">
        <v>1</v>
      </c>
      <c r="E13" s="39" t="n">
        <f aca="false">C13*D13</f>
        <v>25000</v>
      </c>
      <c r="F13" s="40" t="s">
        <v>288</v>
      </c>
      <c r="G13" s="9" t="s">
        <v>534</v>
      </c>
    </row>
    <row r="14" customFormat="false" ht="21.75" hidden="false" customHeight="true" outlineLevel="0" collapsed="false">
      <c r="B14" s="41" t="s">
        <v>535</v>
      </c>
      <c r="C14" s="42"/>
      <c r="D14" s="42"/>
      <c r="E14" s="43" t="n">
        <f aca="false">SUM(E5:E13)</f>
        <v>182000</v>
      </c>
      <c r="F14" s="44"/>
      <c r="G14" s="44"/>
    </row>
    <row r="16" customFormat="false" ht="25.5" hidden="false" customHeight="true" outlineLevel="0" collapsed="false">
      <c r="B16" s="35" t="s">
        <v>536</v>
      </c>
      <c r="C16" s="35"/>
      <c r="D16" s="35"/>
      <c r="E16" s="35"/>
      <c r="F16" s="35"/>
      <c r="G16" s="35"/>
    </row>
    <row r="17" customFormat="false" ht="21.75" hidden="false" customHeight="true" outlineLevel="0" collapsed="false">
      <c r="B17" s="36" t="s">
        <v>281</v>
      </c>
      <c r="C17" s="36" t="s">
        <v>282</v>
      </c>
      <c r="D17" s="36" t="s">
        <v>283</v>
      </c>
      <c r="E17" s="36" t="s">
        <v>284</v>
      </c>
      <c r="F17" s="36" t="s">
        <v>285</v>
      </c>
      <c r="G17" s="36" t="s">
        <v>286</v>
      </c>
    </row>
    <row r="18" customFormat="false" ht="18" hidden="false" customHeight="true" outlineLevel="0" collapsed="false">
      <c r="B18" s="45" t="s">
        <v>537</v>
      </c>
      <c r="C18" s="46" t="n">
        <v>0</v>
      </c>
      <c r="D18" s="47" t="n">
        <v>1</v>
      </c>
      <c r="E18" s="48" t="n">
        <f aca="false">C18*D18</f>
        <v>0</v>
      </c>
      <c r="F18" s="49" t="s">
        <v>288</v>
      </c>
      <c r="G18" s="50" t="s">
        <v>538</v>
      </c>
    </row>
    <row r="19" customFormat="false" ht="18" hidden="false" customHeight="true" outlineLevel="0" collapsed="false">
      <c r="B19" s="45" t="s">
        <v>539</v>
      </c>
      <c r="C19" s="46" t="n">
        <v>0</v>
      </c>
      <c r="D19" s="47" t="n">
        <v>1</v>
      </c>
      <c r="E19" s="48" t="n">
        <f aca="false">C19*D19</f>
        <v>0</v>
      </c>
      <c r="F19" s="49" t="s">
        <v>288</v>
      </c>
      <c r="G19" s="50" t="s">
        <v>540</v>
      </c>
    </row>
    <row r="20" customFormat="false" ht="18" hidden="false" customHeight="true" outlineLevel="0" collapsed="false">
      <c r="B20" s="45" t="s">
        <v>541</v>
      </c>
      <c r="C20" s="46" t="n">
        <v>0</v>
      </c>
      <c r="D20" s="47" t="n">
        <v>1</v>
      </c>
      <c r="E20" s="48" t="n">
        <f aca="false">C20*D20</f>
        <v>0</v>
      </c>
      <c r="F20" s="49" t="s">
        <v>288</v>
      </c>
      <c r="G20" s="50" t="s">
        <v>542</v>
      </c>
    </row>
    <row r="21" customFormat="false" ht="18" hidden="false" customHeight="true" outlineLevel="0" collapsed="false">
      <c r="B21" s="45" t="s">
        <v>543</v>
      </c>
      <c r="C21" s="46" t="n">
        <v>15000</v>
      </c>
      <c r="D21" s="47" t="n">
        <v>1</v>
      </c>
      <c r="E21" s="48" t="n">
        <f aca="false">C21*D21</f>
        <v>15000</v>
      </c>
      <c r="F21" s="49" t="s">
        <v>288</v>
      </c>
      <c r="G21" s="50" t="s">
        <v>544</v>
      </c>
    </row>
    <row r="22" customFormat="false" ht="18" hidden="false" customHeight="true" outlineLevel="0" collapsed="false">
      <c r="B22" s="45" t="s">
        <v>545</v>
      </c>
      <c r="C22" s="46" t="n">
        <v>8000</v>
      </c>
      <c r="D22" s="47" t="n">
        <v>1</v>
      </c>
      <c r="E22" s="48" t="n">
        <f aca="false">C22*D22</f>
        <v>8000</v>
      </c>
      <c r="F22" s="49" t="s">
        <v>288</v>
      </c>
      <c r="G22" s="50" t="s">
        <v>546</v>
      </c>
    </row>
    <row r="23" customFormat="false" ht="18" hidden="false" customHeight="true" outlineLevel="0" collapsed="false">
      <c r="B23" s="45" t="s">
        <v>547</v>
      </c>
      <c r="C23" s="46" t="n">
        <v>18000</v>
      </c>
      <c r="D23" s="47" t="n">
        <v>1</v>
      </c>
      <c r="E23" s="48" t="n">
        <f aca="false">C23*D23</f>
        <v>18000</v>
      </c>
      <c r="F23" s="49" t="s">
        <v>288</v>
      </c>
      <c r="G23" s="50" t="s">
        <v>548</v>
      </c>
    </row>
    <row r="24" customFormat="false" ht="18" hidden="false" customHeight="true" outlineLevel="0" collapsed="false">
      <c r="B24" s="45" t="s">
        <v>549</v>
      </c>
      <c r="C24" s="46" t="n">
        <v>4000</v>
      </c>
      <c r="D24" s="47" t="n">
        <v>6</v>
      </c>
      <c r="E24" s="48" t="n">
        <f aca="false">C24*D24</f>
        <v>24000</v>
      </c>
      <c r="F24" s="49" t="s">
        <v>288</v>
      </c>
      <c r="G24" s="50" t="s">
        <v>550</v>
      </c>
    </row>
    <row r="25" customFormat="false" ht="18" hidden="false" customHeight="true" outlineLevel="0" collapsed="false">
      <c r="B25" s="45" t="s">
        <v>551</v>
      </c>
      <c r="C25" s="46" t="n">
        <v>3500</v>
      </c>
      <c r="D25" s="47" t="n">
        <v>1</v>
      </c>
      <c r="E25" s="48" t="n">
        <f aca="false">C25*D25</f>
        <v>3500</v>
      </c>
      <c r="F25" s="49" t="s">
        <v>288</v>
      </c>
      <c r="G25" s="50" t="s">
        <v>552</v>
      </c>
    </row>
    <row r="26" customFormat="false" ht="18" hidden="false" customHeight="true" outlineLevel="0" collapsed="false">
      <c r="B26" s="45" t="s">
        <v>553</v>
      </c>
      <c r="C26" s="46" t="n">
        <v>0</v>
      </c>
      <c r="D26" s="47" t="n">
        <v>1</v>
      </c>
      <c r="E26" s="48" t="n">
        <f aca="false">C26*D26</f>
        <v>0</v>
      </c>
      <c r="F26" s="49" t="s">
        <v>288</v>
      </c>
      <c r="G26" s="50" t="s">
        <v>554</v>
      </c>
    </row>
    <row r="27" customFormat="false" ht="18" hidden="false" customHeight="true" outlineLevel="0" collapsed="false">
      <c r="B27" s="45" t="s">
        <v>555</v>
      </c>
      <c r="C27" s="46" t="n">
        <v>5000</v>
      </c>
      <c r="D27" s="47" t="n">
        <v>1</v>
      </c>
      <c r="E27" s="48" t="n">
        <f aca="false">C27*D27</f>
        <v>5000</v>
      </c>
      <c r="F27" s="49" t="s">
        <v>288</v>
      </c>
      <c r="G27" s="50" t="s">
        <v>556</v>
      </c>
    </row>
    <row r="28" customFormat="false" ht="21.75" hidden="false" customHeight="true" outlineLevel="0" collapsed="false">
      <c r="B28" s="41" t="s">
        <v>557</v>
      </c>
      <c r="C28" s="42"/>
      <c r="D28" s="42"/>
      <c r="E28" s="43" t="n">
        <f aca="false">SUM(E18:E27)</f>
        <v>73500</v>
      </c>
      <c r="F28" s="44"/>
      <c r="G28" s="44"/>
    </row>
    <row r="30" customFormat="false" ht="25.5" hidden="false" customHeight="true" outlineLevel="0" collapsed="false">
      <c r="B30" s="35" t="s">
        <v>558</v>
      </c>
      <c r="C30" s="35"/>
      <c r="D30" s="35"/>
      <c r="E30" s="35"/>
      <c r="F30" s="35"/>
      <c r="G30" s="35"/>
    </row>
    <row r="31" customFormat="false" ht="21.75" hidden="false" customHeight="true" outlineLevel="0" collapsed="false">
      <c r="B31" s="36" t="s">
        <v>281</v>
      </c>
      <c r="C31" s="36" t="s">
        <v>282</v>
      </c>
      <c r="D31" s="36" t="s">
        <v>283</v>
      </c>
      <c r="E31" s="36" t="s">
        <v>284</v>
      </c>
      <c r="F31" s="36" t="s">
        <v>285</v>
      </c>
      <c r="G31" s="36" t="s">
        <v>286</v>
      </c>
    </row>
    <row r="32" customFormat="false" ht="18" hidden="false" customHeight="true" outlineLevel="0" collapsed="false">
      <c r="B32" s="37" t="s">
        <v>559</v>
      </c>
      <c r="C32" s="8" t="n">
        <v>12000</v>
      </c>
      <c r="D32" s="38" t="n">
        <v>1</v>
      </c>
      <c r="E32" s="39" t="n">
        <f aca="false">C32*D32</f>
        <v>12000</v>
      </c>
      <c r="F32" s="40" t="s">
        <v>288</v>
      </c>
      <c r="G32" s="9" t="s">
        <v>560</v>
      </c>
    </row>
    <row r="33" customFormat="false" ht="18" hidden="false" customHeight="true" outlineLevel="0" collapsed="false">
      <c r="B33" s="37" t="s">
        <v>561</v>
      </c>
      <c r="C33" s="8" t="n">
        <v>8000</v>
      </c>
      <c r="D33" s="38" t="n">
        <v>4</v>
      </c>
      <c r="E33" s="39" t="n">
        <f aca="false">C33*D33</f>
        <v>32000</v>
      </c>
      <c r="F33" s="40" t="s">
        <v>295</v>
      </c>
      <c r="G33" s="9" t="s">
        <v>562</v>
      </c>
    </row>
    <row r="34" customFormat="false" ht="18" hidden="false" customHeight="true" outlineLevel="0" collapsed="false">
      <c r="B34" s="37" t="s">
        <v>563</v>
      </c>
      <c r="C34" s="8" t="n">
        <v>5000</v>
      </c>
      <c r="D34" s="38" t="n">
        <v>1</v>
      </c>
      <c r="E34" s="39" t="n">
        <f aca="false">C34*D34</f>
        <v>5000</v>
      </c>
      <c r="F34" s="40" t="s">
        <v>288</v>
      </c>
      <c r="G34" s="9" t="s">
        <v>564</v>
      </c>
    </row>
    <row r="35" customFormat="false" ht="18" hidden="false" customHeight="true" outlineLevel="0" collapsed="false">
      <c r="B35" s="37" t="s">
        <v>565</v>
      </c>
      <c r="C35" s="8" t="n">
        <v>3000</v>
      </c>
      <c r="D35" s="38" t="n">
        <v>1</v>
      </c>
      <c r="E35" s="39" t="n">
        <f aca="false">C35*D35</f>
        <v>3000</v>
      </c>
      <c r="F35" s="40" t="s">
        <v>288</v>
      </c>
      <c r="G35" s="9" t="s">
        <v>566</v>
      </c>
    </row>
    <row r="36" customFormat="false" ht="18" hidden="false" customHeight="true" outlineLevel="0" collapsed="false">
      <c r="B36" s="37" t="s">
        <v>567</v>
      </c>
      <c r="C36" s="8" t="n">
        <v>12000</v>
      </c>
      <c r="D36" s="38" t="n">
        <v>1</v>
      </c>
      <c r="E36" s="39" t="n">
        <f aca="false">C36*D36</f>
        <v>12000</v>
      </c>
      <c r="F36" s="40" t="s">
        <v>288</v>
      </c>
      <c r="G36" s="9" t="s">
        <v>568</v>
      </c>
    </row>
    <row r="37" customFormat="false" ht="21.75" hidden="false" customHeight="true" outlineLevel="0" collapsed="false">
      <c r="B37" s="41" t="s">
        <v>569</v>
      </c>
      <c r="C37" s="42"/>
      <c r="D37" s="42"/>
      <c r="E37" s="43" t="n">
        <f aca="false">SUM(E32:E36)</f>
        <v>64000</v>
      </c>
      <c r="F37" s="44"/>
      <c r="G37" s="44"/>
    </row>
    <row r="39" customFormat="false" ht="30" hidden="false" customHeight="true" outlineLevel="0" collapsed="false">
      <c r="B39" s="75" t="s">
        <v>570</v>
      </c>
      <c r="C39" s="75"/>
      <c r="D39" s="75"/>
      <c r="E39" s="76" t="n">
        <f aca="false">SUM(E5:E36)</f>
        <v>575000</v>
      </c>
      <c r="F39" s="77"/>
      <c r="G39" s="77"/>
    </row>
  </sheetData>
  <mergeCells count="8">
    <mergeCell ref="B1:G1"/>
    <mergeCell ref="B3:G3"/>
    <mergeCell ref="C14:D14"/>
    <mergeCell ref="B16:G16"/>
    <mergeCell ref="C28:D28"/>
    <mergeCell ref="B30:G30"/>
    <mergeCell ref="C37:D37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6" min="5" style="1" width="16"/>
    <col collapsed="false" customWidth="true" hidden="false" outlineLevel="0" max="7" min="7" style="1" width="24"/>
    <col collapsed="false" customWidth="true" hidden="false" outlineLevel="0" max="8" min="8" style="1" width="4"/>
  </cols>
  <sheetData>
    <row r="1" customFormat="false" ht="36" hidden="false" customHeight="true" outlineLevel="0" collapsed="false">
      <c r="B1" s="78" t="s">
        <v>571</v>
      </c>
      <c r="C1" s="78"/>
      <c r="D1" s="78"/>
      <c r="E1" s="78"/>
      <c r="F1" s="78"/>
      <c r="G1" s="78"/>
    </row>
    <row r="3" customFormat="false" ht="25.5" hidden="false" customHeight="true" outlineLevel="0" collapsed="false">
      <c r="B3" s="35" t="s">
        <v>572</v>
      </c>
      <c r="C3" s="35"/>
      <c r="D3" s="35"/>
      <c r="E3" s="35"/>
      <c r="F3" s="35"/>
      <c r="G3" s="35"/>
    </row>
    <row r="4" customFormat="false" ht="21.75" hidden="false" customHeight="true" outlineLevel="0" collapsed="false">
      <c r="B4" s="36" t="s">
        <v>281</v>
      </c>
      <c r="C4" s="36" t="s">
        <v>282</v>
      </c>
      <c r="D4" s="36" t="s">
        <v>283</v>
      </c>
      <c r="E4" s="36" t="s">
        <v>284</v>
      </c>
      <c r="F4" s="36" t="s">
        <v>285</v>
      </c>
      <c r="G4" s="36" t="s">
        <v>286</v>
      </c>
    </row>
    <row r="5" customFormat="false" ht="18" hidden="false" customHeight="true" outlineLevel="0" collapsed="false">
      <c r="B5" s="37" t="s">
        <v>573</v>
      </c>
      <c r="C5" s="8" t="n">
        <v>15000</v>
      </c>
      <c r="D5" s="38" t="n">
        <v>1</v>
      </c>
      <c r="E5" s="39" t="n">
        <f aca="false">C5*D5</f>
        <v>15000</v>
      </c>
      <c r="F5" s="40" t="s">
        <v>288</v>
      </c>
      <c r="G5" s="9" t="s">
        <v>574</v>
      </c>
    </row>
    <row r="6" customFormat="false" ht="18" hidden="false" customHeight="true" outlineLevel="0" collapsed="false">
      <c r="B6" s="10" t="s">
        <v>575</v>
      </c>
      <c r="C6" s="11" t="n">
        <v>12000</v>
      </c>
      <c r="D6" s="79" t="n">
        <v>1</v>
      </c>
      <c r="E6" s="80" t="n">
        <f aca="false">C6*D6</f>
        <v>12000</v>
      </c>
      <c r="F6" s="81" t="s">
        <v>288</v>
      </c>
      <c r="G6" s="12" t="s">
        <v>576</v>
      </c>
    </row>
    <row r="7" customFormat="false" ht="18" hidden="false" customHeight="true" outlineLevel="0" collapsed="false">
      <c r="B7" s="37" t="s">
        <v>577</v>
      </c>
      <c r="C7" s="8" t="n">
        <v>8000</v>
      </c>
      <c r="D7" s="38" t="n">
        <v>1</v>
      </c>
      <c r="E7" s="39" t="n">
        <f aca="false">C7*D7</f>
        <v>8000</v>
      </c>
      <c r="F7" s="40" t="s">
        <v>288</v>
      </c>
      <c r="G7" s="9" t="s">
        <v>578</v>
      </c>
    </row>
    <row r="8" customFormat="false" ht="18" hidden="false" customHeight="true" outlineLevel="0" collapsed="false">
      <c r="B8" s="10" t="s">
        <v>579</v>
      </c>
      <c r="C8" s="11" t="n">
        <v>6000</v>
      </c>
      <c r="D8" s="79" t="n">
        <v>1</v>
      </c>
      <c r="E8" s="80" t="n">
        <f aca="false">C8*D8</f>
        <v>6000</v>
      </c>
      <c r="F8" s="81" t="s">
        <v>288</v>
      </c>
      <c r="G8" s="12" t="s">
        <v>580</v>
      </c>
    </row>
    <row r="9" customFormat="false" ht="18" hidden="false" customHeight="true" outlineLevel="0" collapsed="false">
      <c r="B9" s="37" t="s">
        <v>581</v>
      </c>
      <c r="C9" s="8" t="n">
        <v>2000</v>
      </c>
      <c r="D9" s="38" t="n">
        <v>8</v>
      </c>
      <c r="E9" s="39" t="n">
        <f aca="false">C9*D9</f>
        <v>16000</v>
      </c>
      <c r="F9" s="40" t="s">
        <v>288</v>
      </c>
      <c r="G9" s="9" t="s">
        <v>582</v>
      </c>
    </row>
    <row r="10" customFormat="false" ht="18" hidden="false" customHeight="true" outlineLevel="0" collapsed="false">
      <c r="B10" s="10" t="s">
        <v>583</v>
      </c>
      <c r="C10" s="11" t="n">
        <v>5000</v>
      </c>
      <c r="D10" s="79" t="n">
        <v>1</v>
      </c>
      <c r="E10" s="80" t="n">
        <f aca="false">C10*D10</f>
        <v>5000</v>
      </c>
      <c r="F10" s="81" t="s">
        <v>288</v>
      </c>
      <c r="G10" s="12" t="s">
        <v>584</v>
      </c>
    </row>
    <row r="11" customFormat="false" ht="18" hidden="false" customHeight="true" outlineLevel="0" collapsed="false">
      <c r="B11" s="37" t="s">
        <v>585</v>
      </c>
      <c r="C11" s="8" t="n">
        <v>3000</v>
      </c>
      <c r="D11" s="38" t="n">
        <v>1</v>
      </c>
      <c r="E11" s="39" t="n">
        <f aca="false">C11*D11</f>
        <v>3000</v>
      </c>
      <c r="F11" s="40" t="s">
        <v>288</v>
      </c>
      <c r="G11" s="9" t="s">
        <v>586</v>
      </c>
    </row>
    <row r="12" customFormat="false" ht="18" hidden="false" customHeight="true" outlineLevel="0" collapsed="false">
      <c r="B12" s="10" t="s">
        <v>587</v>
      </c>
      <c r="C12" s="11" t="n">
        <v>8000</v>
      </c>
      <c r="D12" s="79" t="n">
        <v>1</v>
      </c>
      <c r="E12" s="80" t="n">
        <f aca="false">C12*D12</f>
        <v>8000</v>
      </c>
      <c r="F12" s="81" t="s">
        <v>295</v>
      </c>
      <c r="G12" s="12" t="s">
        <v>588</v>
      </c>
    </row>
    <row r="13" customFormat="false" ht="18" hidden="false" customHeight="true" outlineLevel="0" collapsed="false">
      <c r="B13" s="37" t="s">
        <v>589</v>
      </c>
      <c r="C13" s="8" t="n">
        <v>12000</v>
      </c>
      <c r="D13" s="38" t="n">
        <v>1</v>
      </c>
      <c r="E13" s="39" t="n">
        <f aca="false">C13*D13</f>
        <v>12000</v>
      </c>
      <c r="F13" s="40" t="s">
        <v>295</v>
      </c>
      <c r="G13" s="9" t="s">
        <v>590</v>
      </c>
    </row>
    <row r="14" customFormat="false" ht="18" hidden="false" customHeight="true" outlineLevel="0" collapsed="false">
      <c r="B14" s="10" t="s">
        <v>591</v>
      </c>
      <c r="C14" s="11" t="n">
        <v>0</v>
      </c>
      <c r="D14" s="79" t="n">
        <v>1</v>
      </c>
      <c r="E14" s="80" t="n">
        <f aca="false">C14*D14</f>
        <v>0</v>
      </c>
      <c r="F14" s="81" t="s">
        <v>288</v>
      </c>
      <c r="G14" s="12" t="s">
        <v>592</v>
      </c>
    </row>
    <row r="15" customFormat="false" ht="18" hidden="false" customHeight="true" outlineLevel="0" collapsed="false">
      <c r="B15" s="37" t="s">
        <v>593</v>
      </c>
      <c r="C15" s="8" t="n">
        <v>0</v>
      </c>
      <c r="D15" s="38" t="n">
        <v>1</v>
      </c>
      <c r="E15" s="39" t="n">
        <f aca="false">C15*D15</f>
        <v>0</v>
      </c>
      <c r="F15" s="40" t="s">
        <v>288</v>
      </c>
      <c r="G15" s="9" t="s">
        <v>594</v>
      </c>
    </row>
    <row r="16" customFormat="false" ht="18" hidden="false" customHeight="true" outlineLevel="0" collapsed="false">
      <c r="B16" s="10" t="s">
        <v>595</v>
      </c>
      <c r="C16" s="11" t="n">
        <v>8000</v>
      </c>
      <c r="D16" s="79" t="n">
        <v>1</v>
      </c>
      <c r="E16" s="80" t="n">
        <f aca="false">C16*D16</f>
        <v>8000</v>
      </c>
      <c r="F16" s="81" t="s">
        <v>295</v>
      </c>
      <c r="G16" s="12" t="s">
        <v>596</v>
      </c>
    </row>
    <row r="17" customFormat="false" ht="18" hidden="false" customHeight="true" outlineLevel="0" collapsed="false">
      <c r="B17" s="37" t="s">
        <v>597</v>
      </c>
      <c r="C17" s="8" t="n">
        <v>5000</v>
      </c>
      <c r="D17" s="38" t="n">
        <v>1</v>
      </c>
      <c r="E17" s="39" t="n">
        <f aca="false">C17*D17</f>
        <v>5000</v>
      </c>
      <c r="F17" s="40" t="s">
        <v>288</v>
      </c>
      <c r="G17" s="9" t="s">
        <v>598</v>
      </c>
    </row>
    <row r="18" customFormat="false" ht="18" hidden="false" customHeight="true" outlineLevel="0" collapsed="false">
      <c r="B18" s="10" t="s">
        <v>599</v>
      </c>
      <c r="C18" s="11" t="n">
        <v>3000</v>
      </c>
      <c r="D18" s="79" t="n">
        <v>1</v>
      </c>
      <c r="E18" s="80" t="n">
        <f aca="false">C18*D18</f>
        <v>3000</v>
      </c>
      <c r="F18" s="81" t="s">
        <v>288</v>
      </c>
      <c r="G18" s="12" t="s">
        <v>600</v>
      </c>
    </row>
    <row r="19" customFormat="false" ht="21.75" hidden="false" customHeight="true" outlineLevel="0" collapsed="false">
      <c r="B19" s="41" t="s">
        <v>601</v>
      </c>
      <c r="C19" s="42"/>
      <c r="D19" s="42"/>
      <c r="E19" s="43" t="n">
        <f aca="false">SUM(E5:E18)</f>
        <v>101000</v>
      </c>
      <c r="F19" s="44"/>
      <c r="G19" s="44"/>
    </row>
    <row r="21" customFormat="false" ht="19.5" hidden="false" customHeight="true" outlineLevel="0" collapsed="false">
      <c r="B21" s="82" t="s">
        <v>602</v>
      </c>
      <c r="C21" s="82"/>
      <c r="D21" s="82"/>
      <c r="E21" s="82"/>
      <c r="F21" s="82"/>
      <c r="G21" s="82"/>
    </row>
  </sheetData>
  <mergeCells count="4">
    <mergeCell ref="B1:G1"/>
    <mergeCell ref="B3:G3"/>
    <mergeCell ref="C19:D19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8" min="7" style="1" width="18"/>
    <col collapsed="false" customWidth="true" hidden="false" outlineLevel="0" max="9" min="9" style="1" width="4"/>
  </cols>
  <sheetData>
    <row r="1" customFormat="false" ht="36" hidden="false" customHeight="true" outlineLevel="0" collapsed="false">
      <c r="B1" s="33" t="s">
        <v>603</v>
      </c>
      <c r="C1" s="33"/>
      <c r="D1" s="33"/>
      <c r="E1" s="33"/>
      <c r="F1" s="33"/>
      <c r="G1" s="33"/>
      <c r="H1" s="33"/>
    </row>
    <row r="3" customFormat="false" ht="27.75" hidden="false" customHeight="true" outlineLevel="0" collapsed="false">
      <c r="B3" s="6" t="s">
        <v>604</v>
      </c>
      <c r="C3" s="6" t="s">
        <v>605</v>
      </c>
      <c r="D3" s="6" t="s">
        <v>606</v>
      </c>
      <c r="E3" s="6" t="s">
        <v>607</v>
      </c>
      <c r="F3" s="6" t="s">
        <v>608</v>
      </c>
      <c r="G3" s="6" t="s">
        <v>609</v>
      </c>
      <c r="H3" s="6" t="s">
        <v>8</v>
      </c>
    </row>
    <row r="4" customFormat="false" ht="21.75" hidden="false" customHeight="true" outlineLevel="0" collapsed="false">
      <c r="B4" s="83" t="s">
        <v>610</v>
      </c>
      <c r="C4" s="83"/>
      <c r="D4" s="83"/>
      <c r="E4" s="83"/>
      <c r="F4" s="83"/>
      <c r="G4" s="83"/>
      <c r="H4" s="83"/>
    </row>
    <row r="5" customFormat="false" ht="18" hidden="false" customHeight="true" outlineLevel="0" collapsed="false">
      <c r="B5" s="37" t="s">
        <v>611</v>
      </c>
      <c r="C5" s="8" t="n">
        <v>60000</v>
      </c>
      <c r="D5" s="38" t="n">
        <v>1</v>
      </c>
      <c r="E5" s="39" t="n">
        <f aca="false">C5*D5</f>
        <v>60000</v>
      </c>
      <c r="F5" s="39" t="n">
        <f aca="false">C5*D5</f>
        <v>60000</v>
      </c>
      <c r="G5" s="39" t="n">
        <f aca="false">C5*D5</f>
        <v>60000</v>
      </c>
      <c r="H5" s="9" t="s">
        <v>612</v>
      </c>
    </row>
    <row r="6" customFormat="false" ht="18" hidden="false" customHeight="true" outlineLevel="0" collapsed="false">
      <c r="B6" s="10" t="s">
        <v>613</v>
      </c>
      <c r="C6" s="11" t="n">
        <v>32000</v>
      </c>
      <c r="D6" s="79" t="n">
        <v>2</v>
      </c>
      <c r="E6" s="80" t="n">
        <f aca="false">C6*D6</f>
        <v>64000</v>
      </c>
      <c r="F6" s="80" t="n">
        <f aca="false">C6*D6</f>
        <v>64000</v>
      </c>
      <c r="G6" s="80" t="n">
        <f aca="false">C6*D6</f>
        <v>64000</v>
      </c>
      <c r="H6" s="12" t="s">
        <v>614</v>
      </c>
    </row>
    <row r="7" customFormat="false" ht="18" hidden="false" customHeight="true" outlineLevel="0" collapsed="false">
      <c r="B7" s="37" t="s">
        <v>615</v>
      </c>
      <c r="C7" s="8" t="n">
        <v>22000</v>
      </c>
      <c r="D7" s="38" t="n">
        <v>1</v>
      </c>
      <c r="E7" s="39" t="n">
        <f aca="false">C7*D7</f>
        <v>22000</v>
      </c>
      <c r="F7" s="39" t="n">
        <f aca="false">C7*D7</f>
        <v>22000</v>
      </c>
      <c r="G7" s="39" t="n">
        <f aca="false">C7*D7</f>
        <v>22000</v>
      </c>
      <c r="H7" s="9" t="s">
        <v>616</v>
      </c>
    </row>
    <row r="8" customFormat="false" ht="18" hidden="false" customHeight="true" outlineLevel="0" collapsed="false">
      <c r="B8" s="10" t="s">
        <v>617</v>
      </c>
      <c r="C8" s="11" t="n">
        <v>12000</v>
      </c>
      <c r="D8" s="79" t="n">
        <v>1</v>
      </c>
      <c r="E8" s="80" t="n">
        <f aca="false">C8*D8</f>
        <v>12000</v>
      </c>
      <c r="F8" s="80" t="n">
        <f aca="false">C8*D8</f>
        <v>12000</v>
      </c>
      <c r="G8" s="80" t="n">
        <f aca="false">C8*D8</f>
        <v>12000</v>
      </c>
      <c r="H8" s="12" t="s">
        <v>618</v>
      </c>
    </row>
    <row r="9" customFormat="false" ht="18" hidden="false" customHeight="true" outlineLevel="0" collapsed="false">
      <c r="B9" s="37" t="s">
        <v>619</v>
      </c>
      <c r="C9" s="8" t="n">
        <v>25000</v>
      </c>
      <c r="D9" s="38" t="n">
        <v>1</v>
      </c>
      <c r="E9" s="39" t="n">
        <f aca="false">C9*D9</f>
        <v>25000</v>
      </c>
      <c r="F9" s="39" t="n">
        <f aca="false">C9*D9</f>
        <v>25000</v>
      </c>
      <c r="G9" s="39" t="n">
        <f aca="false">C9*D9</f>
        <v>25000</v>
      </c>
      <c r="H9" s="9" t="s">
        <v>620</v>
      </c>
    </row>
    <row r="10" customFormat="false" ht="21.75" hidden="false" customHeight="true" outlineLevel="0" collapsed="false">
      <c r="B10" s="84" t="s">
        <v>621</v>
      </c>
      <c r="C10" s="44"/>
      <c r="D10" s="44"/>
      <c r="E10" s="85" t="n">
        <f aca="false">SUM(E5:E9)</f>
        <v>183000</v>
      </c>
      <c r="F10" s="85" t="n">
        <f aca="false">SUM(F5:F9)</f>
        <v>183000</v>
      </c>
      <c r="G10" s="85" t="n">
        <f aca="false">SUM(G5:G9)</f>
        <v>183000</v>
      </c>
      <c r="H10" s="44"/>
    </row>
    <row r="12" customFormat="false" ht="21.75" hidden="false" customHeight="true" outlineLevel="0" collapsed="false">
      <c r="B12" s="86" t="s">
        <v>622</v>
      </c>
      <c r="C12" s="86"/>
      <c r="D12" s="86"/>
      <c r="E12" s="86"/>
      <c r="F12" s="86"/>
      <c r="G12" s="86"/>
      <c r="H12" s="86"/>
    </row>
    <row r="13" customFormat="false" ht="18" hidden="false" customHeight="true" outlineLevel="0" collapsed="false">
      <c r="B13" s="37" t="s">
        <v>623</v>
      </c>
      <c r="C13" s="8" t="n">
        <v>38000</v>
      </c>
      <c r="D13" s="38" t="n">
        <v>1</v>
      </c>
      <c r="E13" s="39" t="n">
        <f aca="false">C13*D13</f>
        <v>38000</v>
      </c>
      <c r="F13" s="39" t="n">
        <f aca="false">C13*D13</f>
        <v>38000</v>
      </c>
      <c r="G13" s="39" t="n">
        <f aca="false">C13*D13</f>
        <v>38000</v>
      </c>
      <c r="H13" s="9" t="s">
        <v>624</v>
      </c>
    </row>
    <row r="14" customFormat="false" ht="18" hidden="false" customHeight="true" outlineLevel="0" collapsed="false">
      <c r="B14" s="10" t="s">
        <v>625</v>
      </c>
      <c r="C14" s="11" t="n">
        <v>20000</v>
      </c>
      <c r="D14" s="79" t="n">
        <v>2</v>
      </c>
      <c r="E14" s="80" t="n">
        <f aca="false">C14*D14</f>
        <v>40000</v>
      </c>
      <c r="F14" s="80" t="n">
        <f aca="false">C14*D14</f>
        <v>40000</v>
      </c>
      <c r="G14" s="80" t="n">
        <f aca="false">C14*D14</f>
        <v>40000</v>
      </c>
      <c r="H14" s="12" t="s">
        <v>626</v>
      </c>
    </row>
    <row r="15" customFormat="false" ht="18" hidden="false" customHeight="true" outlineLevel="0" collapsed="false">
      <c r="B15" s="37" t="s">
        <v>627</v>
      </c>
      <c r="C15" s="8" t="n">
        <v>22000</v>
      </c>
      <c r="D15" s="38" t="n">
        <v>1</v>
      </c>
      <c r="E15" s="39" t="n">
        <f aca="false">C15*D15</f>
        <v>22000</v>
      </c>
      <c r="F15" s="39" t="n">
        <f aca="false">C15*D15</f>
        <v>22000</v>
      </c>
      <c r="G15" s="39" t="n">
        <f aca="false">C15*D15</f>
        <v>22000</v>
      </c>
      <c r="H15" s="9" t="s">
        <v>628</v>
      </c>
    </row>
    <row r="16" customFormat="false" ht="21.75" hidden="false" customHeight="true" outlineLevel="0" collapsed="false">
      <c r="B16" s="87" t="s">
        <v>629</v>
      </c>
      <c r="C16" s="88"/>
      <c r="D16" s="88"/>
      <c r="E16" s="89" t="n">
        <f aca="false">SUM(E13:E15)</f>
        <v>100000</v>
      </c>
      <c r="F16" s="89" t="n">
        <f aca="false">SUM(F13:F15)</f>
        <v>100000</v>
      </c>
      <c r="G16" s="89" t="n">
        <f aca="false">SUM(G13:G15)</f>
        <v>100000</v>
      </c>
      <c r="H16" s="88"/>
    </row>
    <row r="18" customFormat="false" ht="27.75" hidden="false" customHeight="true" outlineLevel="0" collapsed="false">
      <c r="B18" s="16" t="s">
        <v>630</v>
      </c>
      <c r="C18" s="53"/>
      <c r="D18" s="53"/>
      <c r="E18" s="90" t="n">
        <f aca="false">E10+E16</f>
        <v>283000</v>
      </c>
      <c r="F18" s="90" t="n">
        <f aca="false">F10+F16</f>
        <v>283000</v>
      </c>
      <c r="G18" s="90" t="n">
        <f aca="false">G10+G16</f>
        <v>283000</v>
      </c>
      <c r="H18" s="53"/>
    </row>
    <row r="20" customFormat="false" ht="19.5" hidden="false" customHeight="true" outlineLevel="0" collapsed="false">
      <c r="B20" s="91" t="s">
        <v>631</v>
      </c>
      <c r="C20" s="91"/>
      <c r="D20" s="91"/>
      <c r="E20" s="91"/>
      <c r="F20" s="91"/>
      <c r="G20" s="91"/>
      <c r="H20" s="91"/>
    </row>
  </sheetData>
  <mergeCells count="4">
    <mergeCell ref="B1:H1"/>
    <mergeCell ref="B4:H4"/>
    <mergeCell ref="B12:H12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6" min="5" style="1" width="16"/>
    <col collapsed="false" customWidth="true" hidden="false" outlineLevel="0" max="7" min="7" style="1" width="24"/>
    <col collapsed="false" customWidth="true" hidden="false" outlineLevel="0" max="8" min="8" style="1" width="4"/>
  </cols>
  <sheetData>
    <row r="1" customFormat="false" ht="36" hidden="false" customHeight="true" outlineLevel="0" collapsed="false">
      <c r="B1" s="92" t="s">
        <v>632</v>
      </c>
      <c r="C1" s="92"/>
      <c r="D1" s="92"/>
      <c r="E1" s="92"/>
      <c r="F1" s="92"/>
      <c r="G1" s="92"/>
    </row>
    <row r="3" customFormat="false" ht="25.5" hidden="false" customHeight="true" outlineLevel="0" collapsed="false">
      <c r="B3" s="35" t="s">
        <v>633</v>
      </c>
      <c r="C3" s="35"/>
      <c r="D3" s="35"/>
      <c r="E3" s="35"/>
      <c r="F3" s="35"/>
      <c r="G3" s="35"/>
    </row>
    <row r="4" customFormat="false" ht="21.75" hidden="false" customHeight="true" outlineLevel="0" collapsed="false">
      <c r="B4" s="36" t="s">
        <v>281</v>
      </c>
      <c r="C4" s="36" t="s">
        <v>282</v>
      </c>
      <c r="D4" s="36" t="s">
        <v>283</v>
      </c>
      <c r="E4" s="36" t="s">
        <v>284</v>
      </c>
      <c r="F4" s="36" t="s">
        <v>285</v>
      </c>
      <c r="G4" s="36" t="s">
        <v>286</v>
      </c>
    </row>
    <row r="5" customFormat="false" ht="18" hidden="false" customHeight="true" outlineLevel="0" collapsed="false">
      <c r="B5" s="37" t="s">
        <v>634</v>
      </c>
      <c r="C5" s="8" t="n">
        <v>350</v>
      </c>
      <c r="D5" s="38" t="n">
        <v>40</v>
      </c>
      <c r="E5" s="39" t="n">
        <f aca="false">C5*D5</f>
        <v>14000</v>
      </c>
      <c r="F5" s="40" t="s">
        <v>288</v>
      </c>
      <c r="G5" s="9" t="s">
        <v>635</v>
      </c>
    </row>
    <row r="6" customFormat="false" ht="18" hidden="false" customHeight="true" outlineLevel="0" collapsed="false">
      <c r="B6" s="10" t="s">
        <v>636</v>
      </c>
      <c r="C6" s="11" t="n">
        <v>280</v>
      </c>
      <c r="D6" s="79" t="n">
        <v>30</v>
      </c>
      <c r="E6" s="80" t="n">
        <f aca="false">C6*D6</f>
        <v>8400</v>
      </c>
      <c r="F6" s="81" t="s">
        <v>288</v>
      </c>
      <c r="G6" s="12" t="s">
        <v>637</v>
      </c>
    </row>
    <row r="7" customFormat="false" ht="18" hidden="false" customHeight="true" outlineLevel="0" collapsed="false">
      <c r="B7" s="37" t="s">
        <v>638</v>
      </c>
      <c r="C7" s="8" t="n">
        <v>250</v>
      </c>
      <c r="D7" s="38" t="n">
        <v>20</v>
      </c>
      <c r="E7" s="39" t="n">
        <f aca="false">C7*D7</f>
        <v>5000</v>
      </c>
      <c r="F7" s="40" t="s">
        <v>288</v>
      </c>
      <c r="G7" s="9" t="s">
        <v>639</v>
      </c>
    </row>
    <row r="8" customFormat="false" ht="18" hidden="false" customHeight="true" outlineLevel="0" collapsed="false">
      <c r="B8" s="10" t="s">
        <v>640</v>
      </c>
      <c r="C8" s="11" t="n">
        <v>1800</v>
      </c>
      <c r="D8" s="79" t="n">
        <v>6</v>
      </c>
      <c r="E8" s="80" t="n">
        <f aca="false">C8*D8</f>
        <v>10800</v>
      </c>
      <c r="F8" s="81" t="s">
        <v>288</v>
      </c>
      <c r="G8" s="12" t="s">
        <v>641</v>
      </c>
    </row>
    <row r="9" customFormat="false" ht="18" hidden="false" customHeight="true" outlineLevel="0" collapsed="false">
      <c r="B9" s="37" t="s">
        <v>642</v>
      </c>
      <c r="C9" s="8" t="n">
        <v>2800</v>
      </c>
      <c r="D9" s="38" t="n">
        <v>4</v>
      </c>
      <c r="E9" s="39" t="n">
        <f aca="false">C9*D9</f>
        <v>11200</v>
      </c>
      <c r="F9" s="40" t="s">
        <v>288</v>
      </c>
      <c r="G9" s="9" t="s">
        <v>643</v>
      </c>
    </row>
    <row r="10" customFormat="false" ht="18" hidden="false" customHeight="true" outlineLevel="0" collapsed="false">
      <c r="B10" s="10" t="s">
        <v>644</v>
      </c>
      <c r="C10" s="11" t="n">
        <v>1600</v>
      </c>
      <c r="D10" s="79" t="n">
        <v>4</v>
      </c>
      <c r="E10" s="80" t="n">
        <f aca="false">C10*D10</f>
        <v>6400</v>
      </c>
      <c r="F10" s="81" t="s">
        <v>288</v>
      </c>
      <c r="G10" s="12" t="s">
        <v>645</v>
      </c>
    </row>
    <row r="11" customFormat="false" ht="18" hidden="false" customHeight="true" outlineLevel="0" collapsed="false">
      <c r="B11" s="37" t="s">
        <v>646</v>
      </c>
      <c r="C11" s="8" t="n">
        <v>3500</v>
      </c>
      <c r="D11" s="38" t="n">
        <v>4</v>
      </c>
      <c r="E11" s="39" t="n">
        <f aca="false">C11*D11</f>
        <v>14000</v>
      </c>
      <c r="F11" s="40" t="s">
        <v>288</v>
      </c>
      <c r="G11" s="9" t="s">
        <v>647</v>
      </c>
    </row>
    <row r="12" customFormat="false" ht="18" hidden="false" customHeight="true" outlineLevel="0" collapsed="false">
      <c r="B12" s="10" t="s">
        <v>648</v>
      </c>
      <c r="C12" s="11" t="n">
        <v>200</v>
      </c>
      <c r="D12" s="79" t="n">
        <v>60</v>
      </c>
      <c r="E12" s="80" t="n">
        <f aca="false">C12*D12</f>
        <v>12000</v>
      </c>
      <c r="F12" s="81" t="s">
        <v>288</v>
      </c>
      <c r="G12" s="12" t="s">
        <v>649</v>
      </c>
    </row>
    <row r="13" customFormat="false" ht="18" hidden="false" customHeight="true" outlineLevel="0" collapsed="false">
      <c r="B13" s="37" t="s">
        <v>650</v>
      </c>
      <c r="C13" s="8" t="n">
        <v>80</v>
      </c>
      <c r="D13" s="38" t="n">
        <v>30</v>
      </c>
      <c r="E13" s="39" t="n">
        <f aca="false">C13*D13</f>
        <v>2400</v>
      </c>
      <c r="F13" s="40" t="s">
        <v>288</v>
      </c>
      <c r="G13" s="9" t="s">
        <v>651</v>
      </c>
    </row>
    <row r="14" customFormat="false" ht="18" hidden="false" customHeight="true" outlineLevel="0" collapsed="false">
      <c r="B14" s="10" t="s">
        <v>652</v>
      </c>
      <c r="C14" s="11" t="n">
        <v>8000</v>
      </c>
      <c r="D14" s="79" t="n">
        <v>1</v>
      </c>
      <c r="E14" s="80" t="n">
        <f aca="false">C14*D14</f>
        <v>8000</v>
      </c>
      <c r="F14" s="81" t="s">
        <v>288</v>
      </c>
      <c r="G14" s="12" t="s">
        <v>653</v>
      </c>
    </row>
    <row r="15" customFormat="false" ht="18" hidden="false" customHeight="true" outlineLevel="0" collapsed="false">
      <c r="B15" s="37" t="s">
        <v>654</v>
      </c>
      <c r="C15" s="8" t="n">
        <v>3000</v>
      </c>
      <c r="D15" s="38" t="n">
        <v>1</v>
      </c>
      <c r="E15" s="39" t="n">
        <f aca="false">C15*D15</f>
        <v>3000</v>
      </c>
      <c r="F15" s="40" t="s">
        <v>288</v>
      </c>
      <c r="G15" s="9" t="s">
        <v>655</v>
      </c>
    </row>
    <row r="16" customFormat="false" ht="18" hidden="false" customHeight="true" outlineLevel="0" collapsed="false">
      <c r="B16" s="10" t="s">
        <v>656</v>
      </c>
      <c r="C16" s="11" t="n">
        <v>70</v>
      </c>
      <c r="D16" s="79" t="n">
        <v>40</v>
      </c>
      <c r="E16" s="80" t="n">
        <f aca="false">C16*D16</f>
        <v>2800</v>
      </c>
      <c r="F16" s="81" t="s">
        <v>288</v>
      </c>
      <c r="G16" s="12" t="s">
        <v>657</v>
      </c>
    </row>
    <row r="17" customFormat="false" ht="18" hidden="false" customHeight="true" outlineLevel="0" collapsed="false">
      <c r="B17" s="37" t="s">
        <v>658</v>
      </c>
      <c r="C17" s="8" t="n">
        <v>650</v>
      </c>
      <c r="D17" s="38" t="n">
        <v>8</v>
      </c>
      <c r="E17" s="39" t="n">
        <f aca="false">C17*D17</f>
        <v>5200</v>
      </c>
      <c r="F17" s="40" t="s">
        <v>288</v>
      </c>
      <c r="G17" s="9" t="s">
        <v>659</v>
      </c>
    </row>
    <row r="18" customFormat="false" ht="18" hidden="false" customHeight="true" outlineLevel="0" collapsed="false">
      <c r="B18" s="10" t="s">
        <v>660</v>
      </c>
      <c r="C18" s="11" t="n">
        <v>2800</v>
      </c>
      <c r="D18" s="79" t="n">
        <v>0</v>
      </c>
      <c r="E18" s="80" t="n">
        <f aca="false">C18*D18</f>
        <v>0</v>
      </c>
      <c r="F18" s="81" t="s">
        <v>288</v>
      </c>
      <c r="G18" s="12" t="s">
        <v>661</v>
      </c>
    </row>
    <row r="19" customFormat="false" ht="18" hidden="false" customHeight="true" outlineLevel="0" collapsed="false">
      <c r="B19" s="37" t="s">
        <v>662</v>
      </c>
      <c r="C19" s="8" t="n">
        <v>400</v>
      </c>
      <c r="D19" s="38" t="n">
        <v>5</v>
      </c>
      <c r="E19" s="39" t="n">
        <f aca="false">C19*D19</f>
        <v>2000</v>
      </c>
      <c r="F19" s="40" t="s">
        <v>288</v>
      </c>
      <c r="G19" s="9" t="s">
        <v>663</v>
      </c>
    </row>
    <row r="20" customFormat="false" ht="18" hidden="false" customHeight="true" outlineLevel="0" collapsed="false">
      <c r="B20" s="10" t="s">
        <v>664</v>
      </c>
      <c r="C20" s="11" t="n">
        <v>900</v>
      </c>
      <c r="D20" s="79" t="n">
        <v>4</v>
      </c>
      <c r="E20" s="80" t="n">
        <f aca="false">C20*D20</f>
        <v>3600</v>
      </c>
      <c r="F20" s="81" t="s">
        <v>295</v>
      </c>
      <c r="G20" s="12" t="s">
        <v>665</v>
      </c>
    </row>
    <row r="21" customFormat="false" ht="18" hidden="false" customHeight="true" outlineLevel="0" collapsed="false">
      <c r="B21" s="37" t="s">
        <v>666</v>
      </c>
      <c r="C21" s="8" t="n">
        <v>2800</v>
      </c>
      <c r="D21" s="38" t="n">
        <v>4</v>
      </c>
      <c r="E21" s="39" t="n">
        <f aca="false">C21*D21</f>
        <v>11200</v>
      </c>
      <c r="F21" s="40" t="s">
        <v>288</v>
      </c>
      <c r="G21" s="9" t="s">
        <v>667</v>
      </c>
    </row>
    <row r="22" customFormat="false" ht="21.75" hidden="false" customHeight="true" outlineLevel="0" collapsed="false">
      <c r="B22" s="41" t="s">
        <v>668</v>
      </c>
      <c r="C22" s="42"/>
      <c r="D22" s="42"/>
      <c r="E22" s="43" t="n">
        <f aca="false">SUM(E5:E21)</f>
        <v>120000</v>
      </c>
      <c r="F22" s="44"/>
      <c r="G22" s="44"/>
    </row>
    <row r="24" customFormat="false" ht="25.5" hidden="false" customHeight="true" outlineLevel="0" collapsed="false">
      <c r="B24" s="35" t="s">
        <v>669</v>
      </c>
      <c r="C24" s="35"/>
      <c r="D24" s="35"/>
      <c r="E24" s="35"/>
      <c r="F24" s="35"/>
      <c r="G24" s="35"/>
    </row>
    <row r="25" customFormat="false" ht="21.75" hidden="false" customHeight="true" outlineLevel="0" collapsed="false">
      <c r="B25" s="36" t="s">
        <v>281</v>
      </c>
      <c r="C25" s="36" t="s">
        <v>282</v>
      </c>
      <c r="D25" s="36" t="s">
        <v>283</v>
      </c>
      <c r="E25" s="36" t="s">
        <v>284</v>
      </c>
      <c r="F25" s="36" t="s">
        <v>285</v>
      </c>
      <c r="G25" s="36" t="s">
        <v>286</v>
      </c>
    </row>
    <row r="26" customFormat="false" ht="18" hidden="false" customHeight="true" outlineLevel="0" collapsed="false">
      <c r="B26" s="37" t="s">
        <v>670</v>
      </c>
      <c r="C26" s="8" t="n">
        <v>12</v>
      </c>
      <c r="D26" s="38" t="n">
        <v>500</v>
      </c>
      <c r="E26" s="39" t="n">
        <f aca="false">C26*D26</f>
        <v>6000</v>
      </c>
      <c r="F26" s="40" t="s">
        <v>288</v>
      </c>
      <c r="G26" s="9" t="s">
        <v>671</v>
      </c>
    </row>
    <row r="27" customFormat="false" ht="18" hidden="false" customHeight="true" outlineLevel="0" collapsed="false">
      <c r="B27" s="10" t="s">
        <v>672</v>
      </c>
      <c r="C27" s="11" t="n">
        <v>18</v>
      </c>
      <c r="D27" s="79" t="n">
        <v>300</v>
      </c>
      <c r="E27" s="80" t="n">
        <f aca="false">C27*D27</f>
        <v>5400</v>
      </c>
      <c r="F27" s="81" t="s">
        <v>288</v>
      </c>
      <c r="G27" s="12" t="s">
        <v>673</v>
      </c>
    </row>
    <row r="28" customFormat="false" ht="18" hidden="false" customHeight="true" outlineLevel="0" collapsed="false">
      <c r="B28" s="37" t="s">
        <v>674</v>
      </c>
      <c r="C28" s="8" t="n">
        <v>8</v>
      </c>
      <c r="D28" s="38" t="n">
        <v>300</v>
      </c>
      <c r="E28" s="39" t="n">
        <f aca="false">C28*D28</f>
        <v>2400</v>
      </c>
      <c r="F28" s="40" t="s">
        <v>288</v>
      </c>
      <c r="G28" s="9" t="s">
        <v>675</v>
      </c>
    </row>
    <row r="29" customFormat="false" ht="18" hidden="false" customHeight="true" outlineLevel="0" collapsed="false">
      <c r="B29" s="10" t="s">
        <v>676</v>
      </c>
      <c r="C29" s="11" t="n">
        <v>15</v>
      </c>
      <c r="D29" s="79" t="n">
        <v>200</v>
      </c>
      <c r="E29" s="80" t="n">
        <f aca="false">C29*D29</f>
        <v>3000</v>
      </c>
      <c r="F29" s="81" t="s">
        <v>288</v>
      </c>
      <c r="G29" s="12" t="s">
        <v>677</v>
      </c>
    </row>
    <row r="30" customFormat="false" ht="18" hidden="false" customHeight="true" outlineLevel="0" collapsed="false">
      <c r="B30" s="37" t="s">
        <v>678</v>
      </c>
      <c r="C30" s="8" t="n">
        <v>1200</v>
      </c>
      <c r="D30" s="38" t="n">
        <v>2</v>
      </c>
      <c r="E30" s="39" t="n">
        <f aca="false">C30*D30</f>
        <v>2400</v>
      </c>
      <c r="F30" s="40" t="s">
        <v>295</v>
      </c>
      <c r="G30" s="9" t="s">
        <v>679</v>
      </c>
    </row>
    <row r="31" customFormat="false" ht="18" hidden="false" customHeight="true" outlineLevel="0" collapsed="false">
      <c r="B31" s="10" t="s">
        <v>680</v>
      </c>
      <c r="C31" s="11" t="n">
        <v>800</v>
      </c>
      <c r="D31" s="79" t="n">
        <v>3</v>
      </c>
      <c r="E31" s="80" t="n">
        <f aca="false">C31*D31</f>
        <v>2400</v>
      </c>
      <c r="F31" s="81" t="s">
        <v>288</v>
      </c>
      <c r="G31" s="12" t="s">
        <v>681</v>
      </c>
    </row>
    <row r="32" customFormat="false" ht="18" hidden="false" customHeight="true" outlineLevel="0" collapsed="false">
      <c r="B32" s="37" t="s">
        <v>682</v>
      </c>
      <c r="C32" s="8" t="n">
        <v>3500</v>
      </c>
      <c r="D32" s="38" t="n">
        <v>1</v>
      </c>
      <c r="E32" s="39" t="n">
        <f aca="false">C32*D32</f>
        <v>3500</v>
      </c>
      <c r="F32" s="40" t="s">
        <v>288</v>
      </c>
      <c r="G32" s="9" t="s">
        <v>683</v>
      </c>
    </row>
    <row r="33" customFormat="false" ht="18" hidden="false" customHeight="true" outlineLevel="0" collapsed="false">
      <c r="B33" s="10" t="s">
        <v>684</v>
      </c>
      <c r="C33" s="11" t="n">
        <v>350</v>
      </c>
      <c r="D33" s="79" t="n">
        <v>6</v>
      </c>
      <c r="E33" s="80" t="n">
        <f aca="false">C33*D33</f>
        <v>2100</v>
      </c>
      <c r="F33" s="81" t="s">
        <v>288</v>
      </c>
      <c r="G33" s="12" t="s">
        <v>685</v>
      </c>
    </row>
    <row r="34" customFormat="false" ht="18" hidden="false" customHeight="true" outlineLevel="0" collapsed="false">
      <c r="B34" s="37" t="s">
        <v>686</v>
      </c>
      <c r="C34" s="8" t="n">
        <v>500</v>
      </c>
      <c r="D34" s="38" t="n">
        <v>3</v>
      </c>
      <c r="E34" s="39" t="n">
        <f aca="false">C34*D34</f>
        <v>1500</v>
      </c>
      <c r="F34" s="40" t="s">
        <v>288</v>
      </c>
      <c r="G34" s="9" t="s">
        <v>687</v>
      </c>
    </row>
    <row r="35" customFormat="false" ht="18" hidden="false" customHeight="true" outlineLevel="0" collapsed="false">
      <c r="B35" s="10" t="s">
        <v>688</v>
      </c>
      <c r="C35" s="11" t="n">
        <v>700</v>
      </c>
      <c r="D35" s="79" t="n">
        <v>2</v>
      </c>
      <c r="E35" s="80" t="n">
        <f aca="false">C35*D35</f>
        <v>1400</v>
      </c>
      <c r="F35" s="81" t="s">
        <v>288</v>
      </c>
      <c r="G35" s="12" t="s">
        <v>689</v>
      </c>
    </row>
    <row r="36" customFormat="false" ht="18" hidden="false" customHeight="true" outlineLevel="0" collapsed="false">
      <c r="B36" s="37" t="s">
        <v>690</v>
      </c>
      <c r="C36" s="8" t="n">
        <v>4000</v>
      </c>
      <c r="D36" s="38" t="n">
        <v>6</v>
      </c>
      <c r="E36" s="39" t="n">
        <f aca="false">C36*D36</f>
        <v>24000</v>
      </c>
      <c r="F36" s="40" t="s">
        <v>288</v>
      </c>
      <c r="G36" s="9" t="s">
        <v>691</v>
      </c>
    </row>
    <row r="37" customFormat="false" ht="21.75" hidden="false" customHeight="true" outlineLevel="0" collapsed="false">
      <c r="B37" s="41" t="s">
        <v>692</v>
      </c>
      <c r="C37" s="42"/>
      <c r="D37" s="42"/>
      <c r="E37" s="43" t="n">
        <f aca="false">SUM(E26:E36)</f>
        <v>54100</v>
      </c>
      <c r="F37" s="44"/>
      <c r="G37" s="44"/>
    </row>
    <row r="39" customFormat="false" ht="25.5" hidden="false" customHeight="true" outlineLevel="0" collapsed="false">
      <c r="B39" s="35" t="s">
        <v>693</v>
      </c>
      <c r="C39" s="35"/>
      <c r="D39" s="35"/>
      <c r="E39" s="35"/>
      <c r="F39" s="35"/>
      <c r="G39" s="35"/>
    </row>
    <row r="40" customFormat="false" ht="21.75" hidden="false" customHeight="true" outlineLevel="0" collapsed="false">
      <c r="B40" s="36" t="s">
        <v>281</v>
      </c>
      <c r="C40" s="36" t="s">
        <v>282</v>
      </c>
      <c r="D40" s="36" t="s">
        <v>283</v>
      </c>
      <c r="E40" s="36" t="s">
        <v>284</v>
      </c>
      <c r="F40" s="36" t="s">
        <v>285</v>
      </c>
      <c r="G40" s="36" t="s">
        <v>286</v>
      </c>
    </row>
    <row r="41" customFormat="false" ht="18" hidden="false" customHeight="true" outlineLevel="0" collapsed="false">
      <c r="B41" s="37" t="s">
        <v>694</v>
      </c>
      <c r="C41" s="8" t="n">
        <v>15000</v>
      </c>
      <c r="D41" s="38" t="n">
        <v>1</v>
      </c>
      <c r="E41" s="39" t="n">
        <f aca="false">C41*D41</f>
        <v>15000</v>
      </c>
      <c r="F41" s="40" t="s">
        <v>288</v>
      </c>
      <c r="G41" s="9" t="s">
        <v>695</v>
      </c>
    </row>
    <row r="42" customFormat="false" ht="18" hidden="false" customHeight="true" outlineLevel="0" collapsed="false">
      <c r="B42" s="10" t="s">
        <v>696</v>
      </c>
      <c r="C42" s="11" t="n">
        <v>5000</v>
      </c>
      <c r="D42" s="79" t="n">
        <v>1</v>
      </c>
      <c r="E42" s="80" t="n">
        <f aca="false">C42*D42</f>
        <v>5000</v>
      </c>
      <c r="F42" s="81" t="s">
        <v>288</v>
      </c>
      <c r="G42" s="12" t="s">
        <v>697</v>
      </c>
    </row>
    <row r="43" customFormat="false" ht="18" hidden="false" customHeight="true" outlineLevel="0" collapsed="false">
      <c r="B43" s="37" t="s">
        <v>698</v>
      </c>
      <c r="C43" s="8" t="n">
        <v>4000</v>
      </c>
      <c r="D43" s="38" t="n">
        <v>1</v>
      </c>
      <c r="E43" s="39" t="n">
        <f aca="false">C43*D43</f>
        <v>4000</v>
      </c>
      <c r="F43" s="40" t="s">
        <v>288</v>
      </c>
      <c r="G43" s="9" t="s">
        <v>699</v>
      </c>
    </row>
    <row r="44" customFormat="false" ht="18" hidden="false" customHeight="true" outlineLevel="0" collapsed="false">
      <c r="B44" s="10" t="s">
        <v>700</v>
      </c>
      <c r="C44" s="11" t="n">
        <v>8000</v>
      </c>
      <c r="D44" s="79" t="n">
        <v>1</v>
      </c>
      <c r="E44" s="80" t="n">
        <f aca="false">C44*D44</f>
        <v>8000</v>
      </c>
      <c r="F44" s="81" t="s">
        <v>288</v>
      </c>
      <c r="G44" s="12" t="s">
        <v>701</v>
      </c>
    </row>
    <row r="45" customFormat="false" ht="18" hidden="false" customHeight="true" outlineLevel="0" collapsed="false">
      <c r="B45" s="37" t="s">
        <v>702</v>
      </c>
      <c r="C45" s="8" t="n">
        <v>3500</v>
      </c>
      <c r="D45" s="38" t="n">
        <v>1</v>
      </c>
      <c r="E45" s="39" t="n">
        <f aca="false">C45*D45</f>
        <v>3500</v>
      </c>
      <c r="F45" s="40" t="s">
        <v>288</v>
      </c>
      <c r="G45" s="9" t="s">
        <v>703</v>
      </c>
    </row>
    <row r="46" customFormat="false" ht="18" hidden="false" customHeight="true" outlineLevel="0" collapsed="false">
      <c r="B46" s="10" t="s">
        <v>704</v>
      </c>
      <c r="C46" s="11" t="n">
        <v>1500</v>
      </c>
      <c r="D46" s="79" t="n">
        <v>1</v>
      </c>
      <c r="E46" s="80" t="n">
        <f aca="false">C46*D46</f>
        <v>1500</v>
      </c>
      <c r="F46" s="81" t="s">
        <v>288</v>
      </c>
      <c r="G46" s="12" t="s">
        <v>705</v>
      </c>
    </row>
    <row r="47" customFormat="false" ht="18" hidden="false" customHeight="true" outlineLevel="0" collapsed="false">
      <c r="B47" s="37" t="s">
        <v>706</v>
      </c>
      <c r="C47" s="8" t="n">
        <v>20000</v>
      </c>
      <c r="D47" s="38" t="n">
        <v>1</v>
      </c>
      <c r="E47" s="39" t="n">
        <f aca="false">C47*D47</f>
        <v>20000</v>
      </c>
      <c r="F47" s="40" t="s">
        <v>288</v>
      </c>
      <c r="G47" s="9" t="s">
        <v>707</v>
      </c>
    </row>
    <row r="48" customFormat="false" ht="18" hidden="false" customHeight="true" outlineLevel="0" collapsed="false">
      <c r="B48" s="10" t="s">
        <v>708</v>
      </c>
      <c r="C48" s="11" t="n">
        <v>5000</v>
      </c>
      <c r="D48" s="79" t="n">
        <v>1</v>
      </c>
      <c r="E48" s="80" t="n">
        <f aca="false">C48*D48</f>
        <v>5000</v>
      </c>
      <c r="F48" s="81" t="s">
        <v>288</v>
      </c>
      <c r="G48" s="12" t="s">
        <v>709</v>
      </c>
    </row>
    <row r="49" customFormat="false" ht="18" hidden="false" customHeight="true" outlineLevel="0" collapsed="false">
      <c r="B49" s="37" t="s">
        <v>710</v>
      </c>
      <c r="C49" s="8" t="n">
        <v>1500</v>
      </c>
      <c r="D49" s="38" t="n">
        <v>1</v>
      </c>
      <c r="E49" s="39" t="n">
        <f aca="false">C49*D49</f>
        <v>1500</v>
      </c>
      <c r="F49" s="40" t="s">
        <v>288</v>
      </c>
      <c r="G49" s="9" t="s">
        <v>711</v>
      </c>
    </row>
    <row r="50" customFormat="false" ht="18" hidden="false" customHeight="true" outlineLevel="0" collapsed="false">
      <c r="B50" s="10" t="s">
        <v>712</v>
      </c>
      <c r="C50" s="11" t="n">
        <v>9000</v>
      </c>
      <c r="D50" s="79" t="n">
        <v>1</v>
      </c>
      <c r="E50" s="80" t="n">
        <f aca="false">C50*D50</f>
        <v>9000</v>
      </c>
      <c r="F50" s="81" t="s">
        <v>288</v>
      </c>
      <c r="G50" s="12" t="s">
        <v>713</v>
      </c>
    </row>
    <row r="51" customFormat="false" ht="21.75" hidden="false" customHeight="true" outlineLevel="0" collapsed="false">
      <c r="B51" s="41" t="s">
        <v>714</v>
      </c>
      <c r="C51" s="42"/>
      <c r="D51" s="42"/>
      <c r="E51" s="43" t="n">
        <f aca="false">SUM(E41:E50)</f>
        <v>72500</v>
      </c>
      <c r="F51" s="44"/>
      <c r="G51" s="44"/>
    </row>
    <row r="53" customFormat="false" ht="25.5" hidden="false" customHeight="true" outlineLevel="0" collapsed="false">
      <c r="B53" s="35" t="s">
        <v>715</v>
      </c>
      <c r="C53" s="35"/>
      <c r="D53" s="35"/>
      <c r="E53" s="35"/>
      <c r="F53" s="35"/>
      <c r="G53" s="35"/>
    </row>
    <row r="54" customFormat="false" ht="21.75" hidden="false" customHeight="true" outlineLevel="0" collapsed="false">
      <c r="B54" s="36" t="s">
        <v>281</v>
      </c>
      <c r="C54" s="36" t="s">
        <v>282</v>
      </c>
      <c r="D54" s="36" t="s">
        <v>283</v>
      </c>
      <c r="E54" s="36" t="s">
        <v>284</v>
      </c>
      <c r="F54" s="36" t="s">
        <v>285</v>
      </c>
      <c r="G54" s="36" t="s">
        <v>286</v>
      </c>
    </row>
    <row r="55" customFormat="false" ht="18" hidden="false" customHeight="true" outlineLevel="0" collapsed="false">
      <c r="B55" s="37" t="s">
        <v>716</v>
      </c>
      <c r="C55" s="8" t="n">
        <v>18000</v>
      </c>
      <c r="D55" s="38" t="n">
        <v>1</v>
      </c>
      <c r="E55" s="39" t="n">
        <f aca="false">C55*D55</f>
        <v>18000</v>
      </c>
      <c r="F55" s="40" t="s">
        <v>288</v>
      </c>
      <c r="G55" s="9" t="s">
        <v>717</v>
      </c>
    </row>
    <row r="56" customFormat="false" ht="18" hidden="false" customHeight="true" outlineLevel="0" collapsed="false">
      <c r="B56" s="10" t="s">
        <v>718</v>
      </c>
      <c r="C56" s="11" t="n">
        <v>25000</v>
      </c>
      <c r="D56" s="79" t="n">
        <v>1</v>
      </c>
      <c r="E56" s="80" t="n">
        <f aca="false">C56*D56</f>
        <v>25000</v>
      </c>
      <c r="F56" s="81" t="s">
        <v>288</v>
      </c>
      <c r="G56" s="12" t="s">
        <v>719</v>
      </c>
    </row>
    <row r="57" customFormat="false" ht="18" hidden="false" customHeight="true" outlineLevel="0" collapsed="false">
      <c r="B57" s="37" t="s">
        <v>720</v>
      </c>
      <c r="C57" s="8" t="n">
        <v>12000</v>
      </c>
      <c r="D57" s="38" t="n">
        <v>1</v>
      </c>
      <c r="E57" s="39" t="n">
        <f aca="false">C57*D57</f>
        <v>12000</v>
      </c>
      <c r="F57" s="40" t="s">
        <v>288</v>
      </c>
      <c r="G57" s="9" t="s">
        <v>721</v>
      </c>
    </row>
    <row r="58" customFormat="false" ht="18" hidden="false" customHeight="true" outlineLevel="0" collapsed="false">
      <c r="B58" s="10" t="s">
        <v>722</v>
      </c>
      <c r="C58" s="11" t="n">
        <v>10000</v>
      </c>
      <c r="D58" s="79" t="n">
        <v>3</v>
      </c>
      <c r="E58" s="80" t="n">
        <f aca="false">C58*D58</f>
        <v>30000</v>
      </c>
      <c r="F58" s="81" t="s">
        <v>295</v>
      </c>
      <c r="G58" s="12" t="s">
        <v>723</v>
      </c>
    </row>
    <row r="59" customFormat="false" ht="18" hidden="false" customHeight="true" outlineLevel="0" collapsed="false">
      <c r="B59" s="37" t="s">
        <v>724</v>
      </c>
      <c r="C59" s="8" t="n">
        <v>6000</v>
      </c>
      <c r="D59" s="38" t="n">
        <v>1</v>
      </c>
      <c r="E59" s="39" t="n">
        <f aca="false">C59*D59</f>
        <v>6000</v>
      </c>
      <c r="F59" s="40" t="s">
        <v>288</v>
      </c>
      <c r="G59" s="9" t="s">
        <v>725</v>
      </c>
    </row>
    <row r="60" customFormat="false" ht="18" hidden="false" customHeight="true" outlineLevel="0" collapsed="false">
      <c r="B60" s="10" t="s">
        <v>726</v>
      </c>
      <c r="C60" s="11" t="n">
        <v>2000</v>
      </c>
      <c r="D60" s="79" t="n">
        <v>1</v>
      </c>
      <c r="E60" s="80" t="n">
        <f aca="false">C60*D60</f>
        <v>2000</v>
      </c>
      <c r="F60" s="81" t="s">
        <v>288</v>
      </c>
      <c r="G60" s="12" t="s">
        <v>727</v>
      </c>
    </row>
    <row r="61" customFormat="false" ht="18" hidden="false" customHeight="true" outlineLevel="0" collapsed="false">
      <c r="B61" s="37" t="s">
        <v>728</v>
      </c>
      <c r="C61" s="8" t="n">
        <v>10000</v>
      </c>
      <c r="D61" s="38" t="n">
        <v>1</v>
      </c>
      <c r="E61" s="39" t="n">
        <f aca="false">C61*D61</f>
        <v>10000</v>
      </c>
      <c r="F61" s="40" t="s">
        <v>288</v>
      </c>
      <c r="G61" s="9" t="s">
        <v>729</v>
      </c>
    </row>
    <row r="62" customFormat="false" ht="18" hidden="false" customHeight="true" outlineLevel="0" collapsed="false">
      <c r="B62" s="10" t="s">
        <v>730</v>
      </c>
      <c r="C62" s="11" t="n">
        <v>0</v>
      </c>
      <c r="D62" s="79" t="n">
        <v>1</v>
      </c>
      <c r="E62" s="80" t="n">
        <f aca="false">C62*D62</f>
        <v>0</v>
      </c>
      <c r="F62" s="81" t="s">
        <v>288</v>
      </c>
      <c r="G62" s="12" t="s">
        <v>731</v>
      </c>
    </row>
    <row r="63" customFormat="false" ht="18" hidden="false" customHeight="true" outlineLevel="0" collapsed="false">
      <c r="B63" s="37" t="s">
        <v>732</v>
      </c>
      <c r="C63" s="8" t="n">
        <v>2500</v>
      </c>
      <c r="D63" s="38" t="n">
        <v>8</v>
      </c>
      <c r="E63" s="39" t="n">
        <f aca="false">C63*D63</f>
        <v>20000</v>
      </c>
      <c r="F63" s="40" t="s">
        <v>288</v>
      </c>
      <c r="G63" s="9" t="s">
        <v>733</v>
      </c>
    </row>
    <row r="64" customFormat="false" ht="18" hidden="false" customHeight="true" outlineLevel="0" collapsed="false">
      <c r="B64" s="10" t="s">
        <v>734</v>
      </c>
      <c r="C64" s="11" t="n">
        <v>5000</v>
      </c>
      <c r="D64" s="79" t="n">
        <v>1</v>
      </c>
      <c r="E64" s="80" t="n">
        <f aca="false">C64*D64</f>
        <v>5000</v>
      </c>
      <c r="F64" s="81" t="s">
        <v>295</v>
      </c>
      <c r="G64" s="12" t="s">
        <v>735</v>
      </c>
    </row>
    <row r="65" customFormat="false" ht="21.75" hidden="false" customHeight="true" outlineLevel="0" collapsed="false">
      <c r="B65" s="41" t="s">
        <v>736</v>
      </c>
      <c r="C65" s="42"/>
      <c r="D65" s="42"/>
      <c r="E65" s="43" t="n">
        <f aca="false">SUM(E55:E64)</f>
        <v>128000</v>
      </c>
      <c r="F65" s="44"/>
      <c r="G65" s="44"/>
    </row>
    <row r="67" customFormat="false" ht="30" hidden="false" customHeight="true" outlineLevel="0" collapsed="false">
      <c r="B67" s="51" t="s">
        <v>737</v>
      </c>
      <c r="C67" s="51"/>
      <c r="D67" s="51"/>
      <c r="E67" s="52" t="n">
        <f aca="false">SUM(E5:E64)</f>
        <v>621200</v>
      </c>
      <c r="F67" s="53"/>
      <c r="G67" s="53"/>
    </row>
  </sheetData>
  <mergeCells count="10">
    <mergeCell ref="B1:G1"/>
    <mergeCell ref="B3:G3"/>
    <mergeCell ref="C22:D22"/>
    <mergeCell ref="B24:G24"/>
    <mergeCell ref="C37:D37"/>
    <mergeCell ref="B39:G39"/>
    <mergeCell ref="C51:D51"/>
    <mergeCell ref="B53:G53"/>
    <mergeCell ref="C65:D65"/>
    <mergeCell ref="B67:D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5" min="3" style="1" width="16"/>
    <col collapsed="false" customWidth="true" hidden="false" outlineLevel="0" max="6" min="6" style="1" width="18"/>
    <col collapsed="false" customWidth="true" hidden="false" outlineLevel="0" max="7" min="7" style="1" width="4"/>
  </cols>
  <sheetData>
    <row r="1" customFormat="false" ht="36" hidden="false" customHeight="true" outlineLevel="0" collapsed="false">
      <c r="B1" s="92" t="s">
        <v>738</v>
      </c>
      <c r="C1" s="92"/>
      <c r="D1" s="92"/>
      <c r="E1" s="92"/>
      <c r="F1" s="92"/>
    </row>
    <row r="2" customFormat="false" ht="19.5" hidden="false" customHeight="true" outlineLevel="0" collapsed="false">
      <c r="B2" s="34" t="s">
        <v>739</v>
      </c>
      <c r="C2" s="34"/>
      <c r="D2" s="34"/>
      <c r="E2" s="34"/>
      <c r="F2" s="34"/>
    </row>
    <row r="4" customFormat="false" ht="24" hidden="false" customHeight="true" outlineLevel="0" collapsed="false">
      <c r="B4" s="93" t="s">
        <v>740</v>
      </c>
      <c r="C4" s="93" t="s">
        <v>741</v>
      </c>
      <c r="D4" s="93" t="s">
        <v>742</v>
      </c>
      <c r="E4" s="93" t="s">
        <v>743</v>
      </c>
      <c r="F4" s="93" t="s">
        <v>8</v>
      </c>
    </row>
    <row r="5" customFormat="false" ht="21.75" hidden="false" customHeight="true" outlineLevel="0" collapsed="false">
      <c r="B5" s="94" t="s">
        <v>744</v>
      </c>
      <c r="C5" s="94"/>
      <c r="D5" s="94"/>
      <c r="E5" s="94"/>
      <c r="F5" s="94"/>
    </row>
    <row r="6" customFormat="false" ht="18" hidden="false" customHeight="true" outlineLevel="0" collapsed="false">
      <c r="B6" s="37" t="s">
        <v>745</v>
      </c>
      <c r="C6" s="8" t="n">
        <v>150000</v>
      </c>
      <c r="D6" s="8" t="n">
        <v>220000</v>
      </c>
      <c r="E6" s="8" t="n">
        <v>310000</v>
      </c>
      <c r="F6" s="9" t="s">
        <v>746</v>
      </c>
    </row>
    <row r="7" customFormat="false" ht="18" hidden="false" customHeight="true" outlineLevel="0" collapsed="false">
      <c r="B7" s="37" t="s">
        <v>747</v>
      </c>
      <c r="C7" s="8" t="n">
        <v>45000</v>
      </c>
      <c r="D7" s="8" t="n">
        <v>80000</v>
      </c>
      <c r="E7" s="8" t="n">
        <v>130000</v>
      </c>
      <c r="F7" s="9" t="s">
        <v>748</v>
      </c>
    </row>
    <row r="8" customFormat="false" ht="18" hidden="false" customHeight="true" outlineLevel="0" collapsed="false">
      <c r="B8" s="37" t="s">
        <v>749</v>
      </c>
      <c r="C8" s="8" t="n">
        <v>20000</v>
      </c>
      <c r="D8" s="8" t="n">
        <v>40000</v>
      </c>
      <c r="E8" s="8" t="n">
        <v>70000</v>
      </c>
      <c r="F8" s="9" t="s">
        <v>750</v>
      </c>
    </row>
    <row r="9" customFormat="false" ht="18" hidden="false" customHeight="true" outlineLevel="0" collapsed="false">
      <c r="B9" s="37" t="s">
        <v>751</v>
      </c>
      <c r="C9" s="8" t="n">
        <v>30000</v>
      </c>
      <c r="D9" s="8" t="n">
        <v>60000</v>
      </c>
      <c r="E9" s="8" t="n">
        <v>90000</v>
      </c>
      <c r="F9" s="9" t="s">
        <v>752</v>
      </c>
    </row>
    <row r="10" customFormat="false" ht="24" hidden="false" customHeight="true" outlineLevel="0" collapsed="false">
      <c r="B10" s="95" t="s">
        <v>753</v>
      </c>
      <c r="C10" s="96" t="n">
        <f aca="false">SUM(C6:C9)</f>
        <v>245000</v>
      </c>
      <c r="D10" s="96" t="n">
        <f aca="false">SUM(D6:D9)</f>
        <v>400000</v>
      </c>
      <c r="E10" s="96" t="n">
        <f aca="false">SUM(E6:E9)</f>
        <v>600000</v>
      </c>
      <c r="F10" s="97"/>
    </row>
    <row r="12" customFormat="false" ht="21.75" hidden="false" customHeight="true" outlineLevel="0" collapsed="false">
      <c r="B12" s="98" t="s">
        <v>754</v>
      </c>
      <c r="C12" s="98"/>
      <c r="D12" s="98"/>
      <c r="E12" s="98"/>
      <c r="F12" s="98"/>
    </row>
    <row r="13" customFormat="false" ht="18" hidden="false" customHeight="true" outlineLevel="0" collapsed="false">
      <c r="B13" s="37" t="s">
        <v>755</v>
      </c>
      <c r="C13" s="8" t="n">
        <v>93100</v>
      </c>
      <c r="D13" s="8" t="n">
        <v>136400</v>
      </c>
      <c r="E13" s="8" t="n">
        <v>228800</v>
      </c>
      <c r="F13" s="9" t="s">
        <v>756</v>
      </c>
    </row>
    <row r="14" customFormat="false" ht="18" hidden="false" customHeight="true" outlineLevel="0" collapsed="false">
      <c r="B14" s="37" t="s">
        <v>757</v>
      </c>
      <c r="C14" s="8" t="n">
        <v>12000</v>
      </c>
      <c r="D14" s="8" t="n">
        <v>18000</v>
      </c>
      <c r="E14" s="8" t="n">
        <v>25000</v>
      </c>
      <c r="F14" s="9" t="s">
        <v>758</v>
      </c>
    </row>
    <row r="15" customFormat="false" ht="18" hidden="false" customHeight="true" outlineLevel="0" collapsed="false">
      <c r="B15" s="37" t="s">
        <v>759</v>
      </c>
      <c r="C15" s="8" t="n">
        <v>12000</v>
      </c>
      <c r="D15" s="8" t="n">
        <v>15000</v>
      </c>
      <c r="E15" s="8" t="n">
        <v>18000</v>
      </c>
      <c r="F15" s="9" t="s">
        <v>760</v>
      </c>
    </row>
    <row r="16" customFormat="false" ht="18" hidden="false" customHeight="true" outlineLevel="0" collapsed="false">
      <c r="B16" s="37" t="s">
        <v>761</v>
      </c>
      <c r="C16" s="8" t="n">
        <v>11250</v>
      </c>
      <c r="D16" s="8" t="n">
        <v>20000</v>
      </c>
      <c r="E16" s="8" t="n">
        <v>32500</v>
      </c>
      <c r="F16" s="9" t="s">
        <v>762</v>
      </c>
    </row>
    <row r="17" customFormat="false" ht="24" hidden="false" customHeight="true" outlineLevel="0" collapsed="false">
      <c r="B17" s="99" t="s">
        <v>763</v>
      </c>
      <c r="C17" s="100" t="n">
        <f aca="false">SUM(C13:C16)</f>
        <v>128350</v>
      </c>
      <c r="D17" s="100" t="n">
        <f aca="false">SUM(D13:D16)</f>
        <v>189400</v>
      </c>
      <c r="E17" s="100" t="n">
        <f aca="false">SUM(E13:E16)</f>
        <v>304300</v>
      </c>
      <c r="F17" s="101"/>
    </row>
    <row r="18" customFormat="false" ht="24" hidden="false" customHeight="true" outlineLevel="0" collapsed="false">
      <c r="B18" s="102" t="s">
        <v>764</v>
      </c>
      <c r="C18" s="103" t="n">
        <f aca="false">C10-C17</f>
        <v>116650</v>
      </c>
      <c r="D18" s="103" t="n">
        <f aca="false">D10-D17</f>
        <v>210600</v>
      </c>
      <c r="E18" s="103" t="n">
        <f aca="false">E10-E17</f>
        <v>295700</v>
      </c>
      <c r="F18" s="104"/>
    </row>
    <row r="20" customFormat="false" ht="21.75" hidden="false" customHeight="true" outlineLevel="0" collapsed="false">
      <c r="B20" s="105" t="s">
        <v>765</v>
      </c>
      <c r="C20" s="105"/>
      <c r="D20" s="105"/>
      <c r="E20" s="105"/>
      <c r="F20" s="105"/>
    </row>
    <row r="21" customFormat="false" ht="18" hidden="false" customHeight="true" outlineLevel="0" collapsed="false">
      <c r="B21" s="37" t="s">
        <v>766</v>
      </c>
      <c r="C21" s="8" t="n">
        <v>210000</v>
      </c>
      <c r="D21" s="8" t="n">
        <v>210000</v>
      </c>
      <c r="E21" s="8" t="n">
        <v>220000</v>
      </c>
      <c r="F21" s="9" t="s">
        <v>767</v>
      </c>
    </row>
    <row r="22" customFormat="false" ht="18" hidden="false" customHeight="true" outlineLevel="0" collapsed="false">
      <c r="B22" s="37" t="s">
        <v>768</v>
      </c>
      <c r="C22" s="8" t="n">
        <v>40000</v>
      </c>
      <c r="D22" s="8" t="n">
        <v>40000</v>
      </c>
      <c r="E22" s="8" t="n">
        <v>40000</v>
      </c>
      <c r="F22" s="9" t="s">
        <v>769</v>
      </c>
    </row>
    <row r="23" customFormat="false" ht="18" hidden="false" customHeight="true" outlineLevel="0" collapsed="false">
      <c r="B23" s="37" t="s">
        <v>770</v>
      </c>
      <c r="C23" s="8" t="n">
        <v>35000</v>
      </c>
      <c r="D23" s="8" t="n">
        <v>35000</v>
      </c>
      <c r="E23" s="8" t="n">
        <v>35000</v>
      </c>
      <c r="F23" s="9" t="s">
        <v>771</v>
      </c>
    </row>
    <row r="24" customFormat="false" ht="18" hidden="false" customHeight="true" outlineLevel="0" collapsed="false">
      <c r="B24" s="37" t="s">
        <v>772</v>
      </c>
      <c r="C24" s="8" t="n">
        <v>20000</v>
      </c>
      <c r="D24" s="8" t="n">
        <v>20000</v>
      </c>
      <c r="E24" s="8" t="n">
        <v>22000</v>
      </c>
      <c r="F24" s="9" t="s">
        <v>773</v>
      </c>
    </row>
    <row r="25" customFormat="false" ht="18" hidden="false" customHeight="true" outlineLevel="0" collapsed="false">
      <c r="B25" s="37" t="s">
        <v>774</v>
      </c>
      <c r="C25" s="8" t="n">
        <v>5500</v>
      </c>
      <c r="D25" s="8" t="n">
        <v>5500</v>
      </c>
      <c r="E25" s="8" t="n">
        <v>5500</v>
      </c>
      <c r="F25" s="9" t="s">
        <v>775</v>
      </c>
    </row>
    <row r="26" customFormat="false" ht="18" hidden="false" customHeight="true" outlineLevel="0" collapsed="false">
      <c r="B26" s="37" t="s">
        <v>776</v>
      </c>
      <c r="C26" s="8" t="n">
        <v>5000</v>
      </c>
      <c r="D26" s="8" t="n">
        <v>5000</v>
      </c>
      <c r="E26" s="8" t="n">
        <v>5000</v>
      </c>
      <c r="F26" s="9" t="s">
        <v>777</v>
      </c>
    </row>
    <row r="27" customFormat="false" ht="18" hidden="false" customHeight="true" outlineLevel="0" collapsed="false">
      <c r="B27" s="37" t="s">
        <v>778</v>
      </c>
      <c r="C27" s="8" t="n">
        <v>5000</v>
      </c>
      <c r="D27" s="8" t="n">
        <v>5000</v>
      </c>
      <c r="E27" s="8" t="n">
        <v>6000</v>
      </c>
      <c r="F27" s="9" t="s">
        <v>779</v>
      </c>
    </row>
    <row r="28" customFormat="false" ht="18" hidden="false" customHeight="true" outlineLevel="0" collapsed="false">
      <c r="B28" s="37" t="s">
        <v>780</v>
      </c>
      <c r="C28" s="8" t="n">
        <v>3000</v>
      </c>
      <c r="D28" s="8" t="n">
        <v>3000</v>
      </c>
      <c r="E28" s="8" t="n">
        <v>3000</v>
      </c>
      <c r="F28" s="9" t="s">
        <v>781</v>
      </c>
    </row>
    <row r="29" customFormat="false" ht="18" hidden="false" customHeight="true" outlineLevel="0" collapsed="false">
      <c r="B29" s="37" t="s">
        <v>782</v>
      </c>
      <c r="C29" s="8" t="n">
        <v>15000</v>
      </c>
      <c r="D29" s="8" t="n">
        <v>12000</v>
      </c>
      <c r="E29" s="8" t="n">
        <v>10000</v>
      </c>
      <c r="F29" s="9" t="s">
        <v>783</v>
      </c>
    </row>
    <row r="30" customFormat="false" ht="18" hidden="false" customHeight="true" outlineLevel="0" collapsed="false">
      <c r="B30" s="37" t="s">
        <v>784</v>
      </c>
      <c r="C30" s="8" t="n">
        <v>8000</v>
      </c>
      <c r="D30" s="8" t="n">
        <v>8000</v>
      </c>
      <c r="E30" s="8" t="n">
        <v>8000</v>
      </c>
      <c r="F30" s="9" t="s">
        <v>785</v>
      </c>
    </row>
    <row r="31" customFormat="false" ht="24" hidden="false" customHeight="true" outlineLevel="0" collapsed="false">
      <c r="B31" s="106" t="s">
        <v>786</v>
      </c>
      <c r="C31" s="107" t="n">
        <f aca="false">SUM(C21:C30)</f>
        <v>346500</v>
      </c>
      <c r="D31" s="107" t="n">
        <f aca="false">SUM(D21:D30)</f>
        <v>343500</v>
      </c>
      <c r="E31" s="107" t="n">
        <f aca="false">SUM(E21:E30)</f>
        <v>354500</v>
      </c>
      <c r="F31" s="77"/>
    </row>
    <row r="32" customFormat="false" ht="27.75" hidden="false" customHeight="true" outlineLevel="0" collapsed="false">
      <c r="B32" s="16" t="s">
        <v>787</v>
      </c>
      <c r="C32" s="108" t="n">
        <f aca="false">C18-C31</f>
        <v>-229850</v>
      </c>
      <c r="D32" s="108" t="n">
        <f aca="false">D18-D31</f>
        <v>-132900</v>
      </c>
      <c r="E32" s="108" t="n">
        <f aca="false">E18-E31</f>
        <v>-58800</v>
      </c>
      <c r="F32" s="109" t="s">
        <v>788</v>
      </c>
    </row>
    <row r="34" customFormat="false" ht="15" hidden="false" customHeight="true" outlineLevel="0" collapsed="false">
      <c r="B34" s="22" t="s">
        <v>789</v>
      </c>
      <c r="C34" s="22"/>
      <c r="D34" s="22"/>
      <c r="E34" s="22"/>
      <c r="F34" s="22"/>
    </row>
  </sheetData>
  <mergeCells count="6">
    <mergeCell ref="B1:F1"/>
    <mergeCell ref="B2:F2"/>
    <mergeCell ref="B5:F5"/>
    <mergeCell ref="B12:F12"/>
    <mergeCell ref="B20:F20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44"/>
    <col collapsed="false" customWidth="true" hidden="false" outlineLevel="0" max="4" min="4" style="1" width="7"/>
    <col collapsed="false" customWidth="true" hidden="false" outlineLevel="0" max="8" min="5" style="1" width="12"/>
    <col collapsed="false" customWidth="true" hidden="false" outlineLevel="0" max="9" min="9" style="1" width="38"/>
    <col collapsed="false" customWidth="true" hidden="false" outlineLevel="0" max="10" min="10" style="1" width="4"/>
  </cols>
  <sheetData>
    <row r="1" customFormat="false" ht="24" hidden="false" customHeight="true" outlineLevel="0" collapsed="false">
      <c r="B1" s="23" t="s">
        <v>790</v>
      </c>
      <c r="C1" s="23"/>
      <c r="D1" s="23"/>
      <c r="E1" s="23"/>
      <c r="F1" s="23"/>
      <c r="G1" s="23"/>
      <c r="H1" s="23"/>
      <c r="I1" s="23"/>
    </row>
    <row r="2" customFormat="false" ht="13.5" hidden="false" customHeight="true" outlineLevel="0" collapsed="false">
      <c r="B2" s="24" t="s">
        <v>791</v>
      </c>
      <c r="C2" s="24"/>
      <c r="D2" s="24"/>
      <c r="E2" s="24"/>
      <c r="F2" s="24"/>
      <c r="G2" s="24"/>
      <c r="H2" s="24"/>
      <c r="I2" s="24"/>
    </row>
    <row r="3" customFormat="false" ht="7.5" hidden="false" customHeight="true" outlineLevel="0" collapsed="false"/>
    <row r="4" customFormat="false" ht="33.75" hidden="false" customHeight="true" outlineLevel="0" collapsed="false">
      <c r="B4" s="25" t="s">
        <v>792</v>
      </c>
      <c r="C4" s="25" t="s">
        <v>793</v>
      </c>
      <c r="D4" s="25" t="s">
        <v>794</v>
      </c>
      <c r="E4" s="25" t="s">
        <v>795</v>
      </c>
      <c r="F4" s="25" t="s">
        <v>796</v>
      </c>
      <c r="G4" s="25" t="s">
        <v>797</v>
      </c>
      <c r="H4" s="25" t="s">
        <v>798</v>
      </c>
      <c r="I4" s="25" t="s">
        <v>799</v>
      </c>
    </row>
    <row r="5" customFormat="false" ht="15" hidden="false" customHeight="true" outlineLevel="0" collapsed="false">
      <c r="B5" s="26" t="s">
        <v>800</v>
      </c>
      <c r="C5" s="26"/>
      <c r="D5" s="26"/>
      <c r="E5" s="26"/>
      <c r="F5" s="26"/>
      <c r="G5" s="26"/>
      <c r="H5" s="26"/>
      <c r="I5" s="26"/>
    </row>
    <row r="6" customFormat="false" ht="15" hidden="false" customHeight="true" outlineLevel="0" collapsed="false">
      <c r="B6" s="110" t="s">
        <v>801</v>
      </c>
      <c r="C6" s="111" t="s">
        <v>802</v>
      </c>
      <c r="D6" s="111" t="s">
        <v>803</v>
      </c>
      <c r="E6" s="112" t="n">
        <v>8</v>
      </c>
      <c r="F6" s="112" t="n">
        <v>7</v>
      </c>
      <c r="G6" s="112" t="n">
        <v>300</v>
      </c>
      <c r="H6" s="113" t="n">
        <f aca="false">E6*F6*G6</f>
        <v>16800</v>
      </c>
      <c r="I6" s="114" t="s">
        <v>804</v>
      </c>
    </row>
    <row r="7" customFormat="false" ht="15" hidden="false" customHeight="true" outlineLevel="0" collapsed="false">
      <c r="B7" s="110" t="s">
        <v>805</v>
      </c>
      <c r="C7" s="111" t="s">
        <v>60</v>
      </c>
      <c r="D7" s="111" t="s">
        <v>803</v>
      </c>
      <c r="E7" s="112" t="n">
        <v>2</v>
      </c>
      <c r="F7" s="112" t="n">
        <v>7</v>
      </c>
      <c r="G7" s="112" t="n">
        <v>420</v>
      </c>
      <c r="H7" s="113" t="n">
        <f aca="false">E7*F7*G7</f>
        <v>5880</v>
      </c>
      <c r="I7" s="114" t="s">
        <v>806</v>
      </c>
    </row>
    <row r="8" customFormat="false" ht="15" hidden="false" customHeight="true" outlineLevel="0" collapsed="false">
      <c r="B8" s="110" t="s">
        <v>807</v>
      </c>
      <c r="C8" s="111" t="s">
        <v>808</v>
      </c>
      <c r="D8" s="111" t="s">
        <v>803</v>
      </c>
      <c r="E8" s="112" t="n">
        <v>3</v>
      </c>
      <c r="F8" s="112" t="n">
        <v>7</v>
      </c>
      <c r="G8" s="112" t="n">
        <v>380</v>
      </c>
      <c r="H8" s="113" t="n">
        <f aca="false">E8*F8*G8</f>
        <v>7980</v>
      </c>
      <c r="I8" s="114" t="s">
        <v>809</v>
      </c>
    </row>
    <row r="9" customFormat="false" ht="15" hidden="false" customHeight="true" outlineLevel="0" collapsed="false">
      <c r="B9" s="110" t="s">
        <v>131</v>
      </c>
      <c r="C9" s="111" t="s">
        <v>201</v>
      </c>
      <c r="D9" s="111" t="s">
        <v>803</v>
      </c>
      <c r="E9" s="112" t="n">
        <v>2</v>
      </c>
      <c r="F9" s="112" t="n">
        <v>7</v>
      </c>
      <c r="G9" s="112" t="n">
        <v>200</v>
      </c>
      <c r="H9" s="113" t="n">
        <f aca="false">E9*F9*G9</f>
        <v>2800</v>
      </c>
      <c r="I9" s="114" t="s">
        <v>810</v>
      </c>
    </row>
    <row r="10" customFormat="false" ht="15" hidden="false" customHeight="true" outlineLevel="0" collapsed="false">
      <c r="B10" s="110" t="s">
        <v>811</v>
      </c>
      <c r="C10" s="111" t="s">
        <v>812</v>
      </c>
      <c r="D10" s="111" t="s">
        <v>813</v>
      </c>
      <c r="E10" s="112" t="n">
        <v>1</v>
      </c>
      <c r="F10" s="112" t="n">
        <v>7</v>
      </c>
      <c r="G10" s="112" t="n">
        <v>750</v>
      </c>
      <c r="H10" s="113" t="n">
        <f aca="false">E10*F10*G10</f>
        <v>5250</v>
      </c>
      <c r="I10" s="114" t="s">
        <v>814</v>
      </c>
    </row>
    <row r="11" customFormat="false" ht="15" hidden="false" customHeight="true" outlineLevel="0" collapsed="false">
      <c r="B11" s="110" t="s">
        <v>815</v>
      </c>
      <c r="C11" s="111" t="s">
        <v>816</v>
      </c>
      <c r="D11" s="111" t="s">
        <v>817</v>
      </c>
      <c r="E11" s="112" t="n">
        <v>2</v>
      </c>
      <c r="F11" s="112" t="n">
        <v>7</v>
      </c>
      <c r="G11" s="112" t="n">
        <v>650</v>
      </c>
      <c r="H11" s="113" t="n">
        <f aca="false">E11*F11*G11</f>
        <v>9100</v>
      </c>
      <c r="I11" s="114" t="s">
        <v>818</v>
      </c>
    </row>
    <row r="12" customFormat="false" ht="15" hidden="false" customHeight="true" outlineLevel="0" collapsed="false">
      <c r="B12" s="115" t="s">
        <v>819</v>
      </c>
      <c r="C12" s="30" t="s">
        <v>820</v>
      </c>
      <c r="D12" s="30" t="s">
        <v>803</v>
      </c>
      <c r="E12" s="32" t="n">
        <v>2</v>
      </c>
      <c r="F12" s="32" t="n">
        <v>5</v>
      </c>
      <c r="G12" s="32" t="n">
        <v>180</v>
      </c>
      <c r="H12" s="116" t="n">
        <f aca="false">E12*F12*G12</f>
        <v>1800</v>
      </c>
      <c r="I12" s="117" t="s">
        <v>821</v>
      </c>
    </row>
    <row r="13" customFormat="false" ht="15" hidden="false" customHeight="true" outlineLevel="0" collapsed="false">
      <c r="B13" s="118" t="s">
        <v>822</v>
      </c>
      <c r="C13" s="118"/>
      <c r="D13" s="118"/>
      <c r="E13" s="118"/>
      <c r="F13" s="118"/>
      <c r="G13" s="118"/>
      <c r="H13" s="119" t="n">
        <f aca="false">SUM(H6:H12)</f>
        <v>49610</v>
      </c>
      <c r="I13" s="120"/>
    </row>
    <row r="14" customFormat="false" ht="15" hidden="false" customHeight="true" outlineLevel="0" collapsed="false">
      <c r="B14" s="26" t="s">
        <v>823</v>
      </c>
      <c r="C14" s="26"/>
      <c r="D14" s="26"/>
      <c r="E14" s="26"/>
      <c r="F14" s="26"/>
      <c r="G14" s="26"/>
      <c r="H14" s="26"/>
      <c r="I14" s="26"/>
    </row>
    <row r="15" customFormat="false" ht="15" hidden="false" customHeight="true" outlineLevel="0" collapsed="false">
      <c r="B15" s="110" t="s">
        <v>824</v>
      </c>
      <c r="C15" s="111" t="s">
        <v>825</v>
      </c>
      <c r="D15" s="111" t="s">
        <v>803</v>
      </c>
      <c r="E15" s="112" t="n">
        <v>15</v>
      </c>
      <c r="F15" s="112" t="n">
        <v>7</v>
      </c>
      <c r="G15" s="112" t="n">
        <v>50</v>
      </c>
      <c r="H15" s="113" t="n">
        <f aca="false">E15*F15*G15</f>
        <v>5250</v>
      </c>
      <c r="I15" s="114" t="s">
        <v>826</v>
      </c>
    </row>
    <row r="16" customFormat="false" ht="15" hidden="false" customHeight="true" outlineLevel="0" collapsed="false">
      <c r="B16" s="110" t="s">
        <v>81</v>
      </c>
      <c r="C16" s="110" t="s">
        <v>827</v>
      </c>
      <c r="D16" s="110" t="s">
        <v>803</v>
      </c>
      <c r="E16" s="110" t="n">
        <v>5</v>
      </c>
      <c r="F16" s="110" t="n">
        <v>7</v>
      </c>
      <c r="G16" s="110" t="n">
        <v>120</v>
      </c>
      <c r="H16" s="110" t="n">
        <f aca="false">E16*F16*G16</f>
        <v>4200</v>
      </c>
      <c r="I16" s="110" t="s">
        <v>828</v>
      </c>
    </row>
    <row r="17" customFormat="false" ht="15" hidden="false" customHeight="true" outlineLevel="0" collapsed="false">
      <c r="B17" s="110" t="s">
        <v>829</v>
      </c>
      <c r="C17" s="111" t="s">
        <v>830</v>
      </c>
      <c r="D17" s="111" t="s">
        <v>803</v>
      </c>
      <c r="E17" s="112" t="n">
        <v>3</v>
      </c>
      <c r="F17" s="112" t="n">
        <v>7</v>
      </c>
      <c r="G17" s="112" t="n">
        <v>200</v>
      </c>
      <c r="H17" s="113" t="n">
        <f aca="false">E17*F17*G17</f>
        <v>4200</v>
      </c>
      <c r="I17" s="114" t="s">
        <v>831</v>
      </c>
    </row>
    <row r="18" customFormat="false" ht="15" hidden="false" customHeight="true" outlineLevel="0" collapsed="false">
      <c r="B18" s="110" t="s">
        <v>832</v>
      </c>
      <c r="C18" s="111" t="s">
        <v>83</v>
      </c>
      <c r="D18" s="111" t="s">
        <v>803</v>
      </c>
      <c r="E18" s="112" t="n">
        <v>8</v>
      </c>
      <c r="F18" s="112" t="n">
        <v>7</v>
      </c>
      <c r="G18" s="112" t="n">
        <v>80</v>
      </c>
      <c r="H18" s="113" t="n">
        <f aca="false">E18*F18*G18</f>
        <v>4480</v>
      </c>
      <c r="I18" s="114" t="s">
        <v>833</v>
      </c>
    </row>
    <row r="19" customFormat="false" ht="15" hidden="false" customHeight="true" outlineLevel="0" collapsed="false">
      <c r="B19" s="110" t="s">
        <v>834</v>
      </c>
      <c r="C19" s="111" t="s">
        <v>835</v>
      </c>
      <c r="D19" s="111" t="s">
        <v>803</v>
      </c>
      <c r="E19" s="112" t="n">
        <v>12</v>
      </c>
      <c r="F19" s="112" t="n">
        <v>7</v>
      </c>
      <c r="G19" s="112" t="n">
        <v>80</v>
      </c>
      <c r="H19" s="113" t="n">
        <f aca="false">E19*F19*G19</f>
        <v>6720</v>
      </c>
      <c r="I19" s="114" t="s">
        <v>836</v>
      </c>
    </row>
    <row r="20" customFormat="false" ht="15" hidden="false" customHeight="true" outlineLevel="0" collapsed="false">
      <c r="B20" s="110" t="s">
        <v>837</v>
      </c>
      <c r="C20" s="111" t="s">
        <v>838</v>
      </c>
      <c r="D20" s="111" t="s">
        <v>803</v>
      </c>
      <c r="E20" s="112" t="n">
        <v>3</v>
      </c>
      <c r="F20" s="112" t="n">
        <v>7</v>
      </c>
      <c r="G20" s="112" t="n">
        <v>40</v>
      </c>
      <c r="H20" s="113" t="n">
        <f aca="false">E20*F20*G20</f>
        <v>840</v>
      </c>
      <c r="I20" s="114" t="s">
        <v>839</v>
      </c>
    </row>
    <row r="21" customFormat="false" ht="15" hidden="false" customHeight="true" outlineLevel="0" collapsed="false">
      <c r="B21" s="110" t="s">
        <v>840</v>
      </c>
      <c r="C21" s="111" t="s">
        <v>841</v>
      </c>
      <c r="D21" s="111" t="s">
        <v>803</v>
      </c>
      <c r="E21" s="112" t="n">
        <v>2</v>
      </c>
      <c r="F21" s="112" t="n">
        <v>7</v>
      </c>
      <c r="G21" s="112" t="n">
        <v>60</v>
      </c>
      <c r="H21" s="113" t="n">
        <f aca="false">E21*F21*G21</f>
        <v>840</v>
      </c>
      <c r="I21" s="114" t="s">
        <v>842</v>
      </c>
    </row>
    <row r="22" customFormat="false" ht="15" hidden="false" customHeight="true" outlineLevel="0" collapsed="false">
      <c r="B22" s="115" t="s">
        <v>843</v>
      </c>
      <c r="C22" s="30" t="s">
        <v>844</v>
      </c>
      <c r="D22" s="30" t="s">
        <v>803</v>
      </c>
      <c r="E22" s="32" t="n">
        <v>2</v>
      </c>
      <c r="F22" s="32" t="n">
        <v>5</v>
      </c>
      <c r="G22" s="32" t="n">
        <v>80</v>
      </c>
      <c r="H22" s="116" t="n">
        <f aca="false">E22*F22*G22</f>
        <v>800</v>
      </c>
      <c r="I22" s="117" t="s">
        <v>845</v>
      </c>
    </row>
    <row r="23" customFormat="false" ht="15" hidden="false" customHeight="true" outlineLevel="0" collapsed="false">
      <c r="B23" s="118" t="s">
        <v>846</v>
      </c>
      <c r="C23" s="118"/>
      <c r="D23" s="118"/>
      <c r="E23" s="118"/>
      <c r="F23" s="118"/>
      <c r="G23" s="118"/>
      <c r="H23" s="119" t="n">
        <f aca="false">SUM(H15:H22)</f>
        <v>27330</v>
      </c>
      <c r="I23" s="120"/>
    </row>
    <row r="24" customFormat="false" ht="15" hidden="false" customHeight="true" outlineLevel="0" collapsed="false">
      <c r="B24" s="26" t="s">
        <v>847</v>
      </c>
      <c r="C24" s="26"/>
      <c r="D24" s="26"/>
      <c r="E24" s="26"/>
      <c r="F24" s="26"/>
      <c r="G24" s="26"/>
      <c r="H24" s="26"/>
      <c r="I24" s="26"/>
    </row>
    <row r="25" customFormat="false" ht="15" hidden="false" customHeight="true" outlineLevel="0" collapsed="false">
      <c r="B25" s="110" t="s">
        <v>848</v>
      </c>
      <c r="C25" s="111" t="s">
        <v>849</v>
      </c>
      <c r="D25" s="111" t="s">
        <v>803</v>
      </c>
      <c r="E25" s="111" t="n">
        <v>8</v>
      </c>
      <c r="F25" s="111" t="n">
        <v>5</v>
      </c>
      <c r="G25" s="111" t="n">
        <v>60</v>
      </c>
      <c r="H25" s="113" t="n">
        <f aca="false">E25*F25*G25</f>
        <v>2400</v>
      </c>
      <c r="I25" s="114" t="s">
        <v>850</v>
      </c>
    </row>
    <row r="26" customFormat="false" ht="15" hidden="false" customHeight="true" outlineLevel="0" collapsed="false">
      <c r="B26" s="110" t="s">
        <v>851</v>
      </c>
      <c r="C26" s="111" t="s">
        <v>852</v>
      </c>
      <c r="D26" s="111" t="s">
        <v>803</v>
      </c>
      <c r="E26" s="112" t="n">
        <v>6</v>
      </c>
      <c r="F26" s="112" t="n">
        <v>5</v>
      </c>
      <c r="G26" s="112" t="n">
        <v>50</v>
      </c>
      <c r="H26" s="113" t="n">
        <f aca="false">E26*F26*G26</f>
        <v>1500</v>
      </c>
      <c r="I26" s="114" t="s">
        <v>853</v>
      </c>
    </row>
    <row r="27" customFormat="false" ht="15" hidden="false" customHeight="true" outlineLevel="0" collapsed="false">
      <c r="B27" s="110" t="s">
        <v>854</v>
      </c>
      <c r="C27" s="110" t="s">
        <v>855</v>
      </c>
      <c r="D27" s="110" t="s">
        <v>803</v>
      </c>
      <c r="E27" s="110" t="n">
        <v>0.5</v>
      </c>
      <c r="F27" s="110" t="n">
        <v>14</v>
      </c>
      <c r="G27" s="110" t="n">
        <v>300</v>
      </c>
      <c r="H27" s="110" t="n">
        <f aca="false">E27*F27*G27</f>
        <v>2100</v>
      </c>
      <c r="I27" s="110" t="s">
        <v>856</v>
      </c>
    </row>
    <row r="28" customFormat="false" ht="15" hidden="false" customHeight="true" outlineLevel="0" collapsed="false">
      <c r="B28" s="110" t="s">
        <v>857</v>
      </c>
      <c r="C28" s="111" t="s">
        <v>858</v>
      </c>
      <c r="D28" s="111" t="s">
        <v>859</v>
      </c>
      <c r="E28" s="112" t="n">
        <v>4</v>
      </c>
      <c r="F28" s="112" t="n">
        <v>5</v>
      </c>
      <c r="G28" s="112" t="n">
        <v>30</v>
      </c>
      <c r="H28" s="113" t="n">
        <f aca="false">E28*F28*G28</f>
        <v>600</v>
      </c>
      <c r="I28" s="114" t="s">
        <v>860</v>
      </c>
    </row>
    <row r="29" customFormat="false" ht="15" hidden="false" customHeight="true" outlineLevel="0" collapsed="false">
      <c r="B29" s="110" t="s">
        <v>861</v>
      </c>
      <c r="C29" s="111" t="s">
        <v>862</v>
      </c>
      <c r="D29" s="111" t="s">
        <v>803</v>
      </c>
      <c r="E29" s="112" t="n">
        <v>4</v>
      </c>
      <c r="F29" s="112" t="n">
        <v>5</v>
      </c>
      <c r="G29" s="112" t="n">
        <v>50</v>
      </c>
      <c r="H29" s="113" t="n">
        <f aca="false">E29*F29*G29</f>
        <v>1000</v>
      </c>
      <c r="I29" s="114" t="s">
        <v>863</v>
      </c>
    </row>
    <row r="30" customFormat="false" ht="15" hidden="false" customHeight="true" outlineLevel="0" collapsed="false">
      <c r="B30" s="110" t="s">
        <v>864</v>
      </c>
      <c r="C30" s="111" t="s">
        <v>865</v>
      </c>
      <c r="D30" s="111" t="s">
        <v>866</v>
      </c>
      <c r="E30" s="112" t="n">
        <v>15</v>
      </c>
      <c r="F30" s="112" t="n">
        <v>5</v>
      </c>
      <c r="G30" s="112" t="n">
        <v>10</v>
      </c>
      <c r="H30" s="113" t="n">
        <f aca="false">E30*F30*G30</f>
        <v>750</v>
      </c>
      <c r="I30" s="114" t="s">
        <v>867</v>
      </c>
    </row>
    <row r="31" customFormat="false" ht="15" hidden="false" customHeight="true" outlineLevel="0" collapsed="false">
      <c r="B31" s="110" t="s">
        <v>868</v>
      </c>
      <c r="C31" s="111" t="s">
        <v>869</v>
      </c>
      <c r="D31" s="111" t="s">
        <v>859</v>
      </c>
      <c r="E31" s="112" t="n">
        <v>2</v>
      </c>
      <c r="F31" s="112" t="n">
        <v>5</v>
      </c>
      <c r="G31" s="112" t="n">
        <v>50</v>
      </c>
      <c r="H31" s="113" t="n">
        <f aca="false">E31*F31*G31</f>
        <v>500</v>
      </c>
      <c r="I31" s="114" t="s">
        <v>870</v>
      </c>
    </row>
    <row r="32" customFormat="false" ht="15" hidden="false" customHeight="true" outlineLevel="0" collapsed="false">
      <c r="B32" s="110" t="s">
        <v>871</v>
      </c>
      <c r="C32" s="111" t="s">
        <v>872</v>
      </c>
      <c r="D32" s="111" t="s">
        <v>803</v>
      </c>
      <c r="E32" s="112" t="n">
        <v>1</v>
      </c>
      <c r="F32" s="112" t="n">
        <v>7</v>
      </c>
      <c r="G32" s="112" t="n">
        <v>120</v>
      </c>
      <c r="H32" s="113" t="n">
        <f aca="false">E32*F32*G32</f>
        <v>840</v>
      </c>
      <c r="I32" s="114" t="s">
        <v>873</v>
      </c>
    </row>
    <row r="33" customFormat="false" ht="15" hidden="false" customHeight="true" outlineLevel="0" collapsed="false">
      <c r="B33" s="118" t="s">
        <v>874</v>
      </c>
      <c r="C33" s="118"/>
      <c r="D33" s="118"/>
      <c r="E33" s="118"/>
      <c r="F33" s="118"/>
      <c r="G33" s="118"/>
      <c r="H33" s="119" t="n">
        <f aca="false">SUM(H25:H32)</f>
        <v>9690</v>
      </c>
      <c r="I33" s="120"/>
    </row>
    <row r="34" customFormat="false" ht="15" hidden="false" customHeight="true" outlineLevel="0" collapsed="false">
      <c r="B34" s="26" t="s">
        <v>134</v>
      </c>
      <c r="C34" s="26"/>
      <c r="D34" s="26"/>
      <c r="E34" s="26"/>
      <c r="F34" s="26"/>
      <c r="G34" s="26"/>
      <c r="H34" s="26"/>
      <c r="I34" s="26"/>
    </row>
    <row r="35" customFormat="false" ht="15" hidden="false" customHeight="true" outlineLevel="0" collapsed="false">
      <c r="B35" s="110" t="s">
        <v>875</v>
      </c>
      <c r="C35" s="111" t="s">
        <v>876</v>
      </c>
      <c r="D35" s="111" t="s">
        <v>803</v>
      </c>
      <c r="E35" s="112" t="n">
        <v>3</v>
      </c>
      <c r="F35" s="112" t="n">
        <v>14</v>
      </c>
      <c r="G35" s="112" t="n">
        <v>100</v>
      </c>
      <c r="H35" s="113" t="n">
        <f aca="false">E35*F35*G35</f>
        <v>4200</v>
      </c>
      <c r="I35" s="114" t="s">
        <v>877</v>
      </c>
    </row>
    <row r="36" customFormat="false" ht="15" hidden="false" customHeight="true" outlineLevel="0" collapsed="false">
      <c r="B36" s="110" t="s">
        <v>878</v>
      </c>
      <c r="C36" s="111" t="s">
        <v>879</v>
      </c>
      <c r="D36" s="111" t="s">
        <v>803</v>
      </c>
      <c r="E36" s="112" t="n">
        <v>2</v>
      </c>
      <c r="F36" s="112" t="n">
        <v>14</v>
      </c>
      <c r="G36" s="112" t="n">
        <v>130</v>
      </c>
      <c r="H36" s="113" t="n">
        <f aca="false">E36*F36*G36</f>
        <v>3640</v>
      </c>
      <c r="I36" s="114" t="s">
        <v>880</v>
      </c>
    </row>
    <row r="37" customFormat="false" ht="15" hidden="false" customHeight="true" outlineLevel="0" collapsed="false">
      <c r="B37" s="110" t="s">
        <v>881</v>
      </c>
      <c r="C37" s="111" t="s">
        <v>882</v>
      </c>
      <c r="D37" s="111" t="s">
        <v>803</v>
      </c>
      <c r="E37" s="112" t="n">
        <v>1.5</v>
      </c>
      <c r="F37" s="112" t="n">
        <v>14</v>
      </c>
      <c r="G37" s="112" t="n">
        <v>150</v>
      </c>
      <c r="H37" s="113" t="n">
        <f aca="false">E37*F37*G37</f>
        <v>3150</v>
      </c>
      <c r="I37" s="114" t="s">
        <v>880</v>
      </c>
    </row>
    <row r="38" customFormat="false" ht="15" hidden="false" customHeight="true" outlineLevel="0" collapsed="false">
      <c r="B38" s="110" t="s">
        <v>883</v>
      </c>
      <c r="C38" s="111" t="s">
        <v>884</v>
      </c>
      <c r="D38" s="111" t="s">
        <v>803</v>
      </c>
      <c r="E38" s="111" t="n">
        <v>1</v>
      </c>
      <c r="F38" s="111" t="n">
        <v>14</v>
      </c>
      <c r="G38" s="111" t="n">
        <v>120</v>
      </c>
      <c r="H38" s="113" t="n">
        <f aca="false">E38*F38*G38</f>
        <v>1680</v>
      </c>
      <c r="I38" s="114" t="s">
        <v>885</v>
      </c>
    </row>
    <row r="39" customFormat="false" ht="15" hidden="false" customHeight="true" outlineLevel="0" collapsed="false">
      <c r="B39" s="110" t="s">
        <v>886</v>
      </c>
      <c r="C39" s="111" t="s">
        <v>887</v>
      </c>
      <c r="D39" s="111" t="s">
        <v>859</v>
      </c>
      <c r="E39" s="112" t="n">
        <v>6</v>
      </c>
      <c r="F39" s="112" t="n">
        <v>5</v>
      </c>
      <c r="G39" s="112" t="n">
        <v>30</v>
      </c>
      <c r="H39" s="113" t="n">
        <f aca="false">E39*F39*G39</f>
        <v>900</v>
      </c>
      <c r="I39" s="114" t="s">
        <v>888</v>
      </c>
    </row>
    <row r="40" customFormat="false" ht="15" hidden="false" customHeight="true" outlineLevel="0" collapsed="false">
      <c r="B40" s="121" t="s">
        <v>889</v>
      </c>
      <c r="C40" s="121"/>
      <c r="D40" s="121"/>
      <c r="E40" s="121"/>
      <c r="F40" s="121"/>
      <c r="G40" s="121"/>
      <c r="H40" s="121" t="n">
        <f aca="false">SUM(H35:H39)</f>
        <v>13570</v>
      </c>
      <c r="I40" s="121"/>
    </row>
    <row r="41" customFormat="false" ht="15" hidden="false" customHeight="true" outlineLevel="0" collapsed="false">
      <c r="B41" s="26" t="s">
        <v>890</v>
      </c>
      <c r="C41" s="26"/>
      <c r="D41" s="26"/>
      <c r="E41" s="26"/>
      <c r="F41" s="26"/>
      <c r="G41" s="26"/>
      <c r="H41" s="26"/>
      <c r="I41" s="26"/>
    </row>
    <row r="42" customFormat="false" ht="15" hidden="false" customHeight="true" outlineLevel="0" collapsed="false">
      <c r="B42" s="110" t="s">
        <v>646</v>
      </c>
      <c r="C42" s="111" t="s">
        <v>891</v>
      </c>
      <c r="D42" s="111" t="s">
        <v>892</v>
      </c>
      <c r="E42" s="112" t="n">
        <v>8</v>
      </c>
      <c r="F42" s="112" t="n">
        <v>14</v>
      </c>
      <c r="G42" s="112" t="n">
        <v>175</v>
      </c>
      <c r="H42" s="113" t="n">
        <f aca="false">E42*F42*G42</f>
        <v>19600</v>
      </c>
      <c r="I42" s="114" t="s">
        <v>893</v>
      </c>
    </row>
    <row r="43" customFormat="false" ht="15" hidden="false" customHeight="true" outlineLevel="0" collapsed="false">
      <c r="B43" s="110" t="s">
        <v>894</v>
      </c>
      <c r="C43" s="111" t="s">
        <v>895</v>
      </c>
      <c r="D43" s="111" t="s">
        <v>803</v>
      </c>
      <c r="E43" s="112" t="n">
        <v>0.2</v>
      </c>
      <c r="F43" s="112" t="n">
        <v>30</v>
      </c>
      <c r="G43" s="112" t="n">
        <v>600</v>
      </c>
      <c r="H43" s="113" t="n">
        <f aca="false">E43*F43*G43</f>
        <v>3600</v>
      </c>
      <c r="I43" s="114" t="s">
        <v>896</v>
      </c>
    </row>
    <row r="44" customFormat="false" ht="15" hidden="false" customHeight="true" outlineLevel="0" collapsed="false">
      <c r="B44" s="110" t="s">
        <v>897</v>
      </c>
      <c r="C44" s="111" t="s">
        <v>898</v>
      </c>
      <c r="D44" s="111" t="s">
        <v>803</v>
      </c>
      <c r="E44" s="112" t="n">
        <v>0.3</v>
      </c>
      <c r="F44" s="112" t="n">
        <v>30</v>
      </c>
      <c r="G44" s="112" t="n">
        <v>400</v>
      </c>
      <c r="H44" s="113" t="n">
        <f aca="false">E44*F44*G44</f>
        <v>3600</v>
      </c>
      <c r="I44" s="114" t="s">
        <v>899</v>
      </c>
    </row>
    <row r="45" customFormat="false" ht="15" hidden="false" customHeight="true" outlineLevel="0" collapsed="false">
      <c r="B45" s="110" t="s">
        <v>900</v>
      </c>
      <c r="C45" s="111" t="s">
        <v>901</v>
      </c>
      <c r="D45" s="111" t="s">
        <v>803</v>
      </c>
      <c r="E45" s="112" t="n">
        <v>0.1</v>
      </c>
      <c r="F45" s="112" t="n">
        <v>30</v>
      </c>
      <c r="G45" s="112" t="n">
        <v>500</v>
      </c>
      <c r="H45" s="113" t="n">
        <f aca="false">E45*F45*G45</f>
        <v>1500</v>
      </c>
      <c r="I45" s="114" t="s">
        <v>902</v>
      </c>
    </row>
    <row r="46" customFormat="false" ht="15" hidden="false" customHeight="true" outlineLevel="0" collapsed="false">
      <c r="B46" s="110" t="s">
        <v>903</v>
      </c>
      <c r="C46" s="111" t="s">
        <v>904</v>
      </c>
      <c r="D46" s="111" t="s">
        <v>803</v>
      </c>
      <c r="E46" s="112" t="n">
        <v>0.2</v>
      </c>
      <c r="F46" s="112" t="n">
        <v>30</v>
      </c>
      <c r="G46" s="112" t="n">
        <v>800</v>
      </c>
      <c r="H46" s="113" t="n">
        <f aca="false">E46*F46*G46</f>
        <v>4800</v>
      </c>
      <c r="I46" s="114" t="s">
        <v>905</v>
      </c>
    </row>
    <row r="47" customFormat="false" ht="15" hidden="false" customHeight="true" outlineLevel="0" collapsed="false">
      <c r="B47" s="110" t="s">
        <v>906</v>
      </c>
      <c r="C47" s="111" t="s">
        <v>907</v>
      </c>
      <c r="D47" s="111" t="s">
        <v>908</v>
      </c>
      <c r="E47" s="112" t="n">
        <v>2</v>
      </c>
      <c r="F47" s="112" t="n">
        <v>14</v>
      </c>
      <c r="G47" s="112" t="n">
        <v>100</v>
      </c>
      <c r="H47" s="113" t="n">
        <f aca="false">E47*F47*G47</f>
        <v>2800</v>
      </c>
      <c r="I47" s="114" t="s">
        <v>909</v>
      </c>
    </row>
    <row r="48" customFormat="false" ht="15" hidden="false" customHeight="true" outlineLevel="0" collapsed="false">
      <c r="B48" s="110" t="s">
        <v>910</v>
      </c>
      <c r="C48" s="111" t="s">
        <v>911</v>
      </c>
      <c r="D48" s="111" t="s">
        <v>892</v>
      </c>
      <c r="E48" s="112" t="n">
        <v>0.3</v>
      </c>
      <c r="F48" s="112" t="n">
        <v>30</v>
      </c>
      <c r="G48" s="112" t="n">
        <v>150</v>
      </c>
      <c r="H48" s="113" t="n">
        <f aca="false">E48*F48*G48</f>
        <v>1350</v>
      </c>
      <c r="I48" s="114" t="s">
        <v>905</v>
      </c>
    </row>
    <row r="49" customFormat="false" ht="15" hidden="false" customHeight="true" outlineLevel="0" collapsed="false">
      <c r="B49" s="110" t="s">
        <v>912</v>
      </c>
      <c r="C49" s="111" t="s">
        <v>913</v>
      </c>
      <c r="D49" s="111" t="s">
        <v>803</v>
      </c>
      <c r="E49" s="112" t="n">
        <v>0.2</v>
      </c>
      <c r="F49" s="112" t="n">
        <v>30</v>
      </c>
      <c r="G49" s="112" t="n">
        <v>700</v>
      </c>
      <c r="H49" s="113" t="n">
        <f aca="false">E49*F49*G49</f>
        <v>4200</v>
      </c>
      <c r="I49" s="114" t="s">
        <v>905</v>
      </c>
    </row>
    <row r="50" customFormat="false" ht="15" hidden="false" customHeight="true" outlineLevel="0" collapsed="false">
      <c r="B50" s="110" t="s">
        <v>914</v>
      </c>
      <c r="C50" s="111" t="s">
        <v>915</v>
      </c>
      <c r="D50" s="111" t="s">
        <v>803</v>
      </c>
      <c r="E50" s="111" t="n">
        <v>1</v>
      </c>
      <c r="F50" s="111" t="n">
        <v>14</v>
      </c>
      <c r="G50" s="111" t="n">
        <v>50</v>
      </c>
      <c r="H50" s="113" t="n">
        <f aca="false">E50*F50*G50</f>
        <v>700</v>
      </c>
      <c r="I50" s="114"/>
    </row>
    <row r="51" customFormat="false" ht="15" hidden="false" customHeight="true" outlineLevel="0" collapsed="false">
      <c r="B51" s="110" t="s">
        <v>916</v>
      </c>
      <c r="C51" s="111" t="s">
        <v>917</v>
      </c>
      <c r="D51" s="111" t="s">
        <v>803</v>
      </c>
      <c r="E51" s="112" t="n">
        <v>2</v>
      </c>
      <c r="F51" s="112" t="n">
        <v>14</v>
      </c>
      <c r="G51" s="112" t="n">
        <v>90</v>
      </c>
      <c r="H51" s="113" t="n">
        <f aca="false">E51*F51*G51</f>
        <v>2520</v>
      </c>
      <c r="I51" s="114"/>
    </row>
    <row r="52" customFormat="false" ht="15" hidden="false" customHeight="true" outlineLevel="0" collapsed="false">
      <c r="B52" s="121" t="s">
        <v>918</v>
      </c>
      <c r="C52" s="121"/>
      <c r="D52" s="121"/>
      <c r="E52" s="121"/>
      <c r="F52" s="121"/>
      <c r="G52" s="121"/>
      <c r="H52" s="121" t="n">
        <f aca="false">SUM(H42:H51)</f>
        <v>44670</v>
      </c>
      <c r="I52" s="121"/>
    </row>
    <row r="53" customFormat="false" ht="15" hidden="false" customHeight="true" outlineLevel="0" collapsed="false">
      <c r="B53" s="26" t="s">
        <v>919</v>
      </c>
      <c r="C53" s="26"/>
      <c r="D53" s="26"/>
      <c r="E53" s="26"/>
      <c r="F53" s="26"/>
      <c r="G53" s="26"/>
      <c r="H53" s="26"/>
      <c r="I53" s="26"/>
    </row>
    <row r="54" customFormat="false" ht="15" hidden="false" customHeight="true" outlineLevel="0" collapsed="false">
      <c r="B54" s="110" t="s">
        <v>920</v>
      </c>
      <c r="C54" s="111" t="s">
        <v>921</v>
      </c>
      <c r="D54" s="111" t="s">
        <v>892</v>
      </c>
      <c r="E54" s="112" t="n">
        <v>8</v>
      </c>
      <c r="F54" s="112" t="n">
        <v>5</v>
      </c>
      <c r="G54" s="112" t="n">
        <v>70</v>
      </c>
      <c r="H54" s="113" t="n">
        <f aca="false">E54*F54*G54</f>
        <v>2800</v>
      </c>
      <c r="I54" s="114" t="s">
        <v>922</v>
      </c>
    </row>
    <row r="55" customFormat="false" ht="15" hidden="false" customHeight="true" outlineLevel="0" collapsed="false">
      <c r="B55" s="110" t="s">
        <v>923</v>
      </c>
      <c r="C55" s="111" t="s">
        <v>924</v>
      </c>
      <c r="D55" s="111" t="s">
        <v>803</v>
      </c>
      <c r="E55" s="112" t="n">
        <v>0.5</v>
      </c>
      <c r="F55" s="112" t="n">
        <v>14</v>
      </c>
      <c r="G55" s="112" t="n">
        <v>700</v>
      </c>
      <c r="H55" s="113" t="n">
        <f aca="false">E55*F55*G55</f>
        <v>4900</v>
      </c>
      <c r="I55" s="114"/>
    </row>
    <row r="56" customFormat="false" ht="15" hidden="false" customHeight="true" outlineLevel="0" collapsed="false">
      <c r="B56" s="110" t="s">
        <v>925</v>
      </c>
      <c r="C56" s="111" t="s">
        <v>265</v>
      </c>
      <c r="D56" s="111" t="s">
        <v>908</v>
      </c>
      <c r="E56" s="112" t="n">
        <v>0.5</v>
      </c>
      <c r="F56" s="112" t="n">
        <v>14</v>
      </c>
      <c r="G56" s="112" t="n">
        <v>400</v>
      </c>
      <c r="H56" s="113" t="n">
        <f aca="false">E56*F56*G56</f>
        <v>2800</v>
      </c>
      <c r="I56" s="114"/>
    </row>
    <row r="57" customFormat="false" ht="15" hidden="false" customHeight="true" outlineLevel="0" collapsed="false">
      <c r="B57" s="110" t="s">
        <v>926</v>
      </c>
      <c r="C57" s="111" t="s">
        <v>927</v>
      </c>
      <c r="D57" s="111" t="s">
        <v>803</v>
      </c>
      <c r="E57" s="112" t="n">
        <v>1</v>
      </c>
      <c r="F57" s="112" t="n">
        <v>14</v>
      </c>
      <c r="G57" s="112" t="n">
        <v>200</v>
      </c>
      <c r="H57" s="113" t="n">
        <f aca="false">E57*F57*G57</f>
        <v>2800</v>
      </c>
      <c r="I57" s="114" t="s">
        <v>928</v>
      </c>
    </row>
    <row r="58" customFormat="false" ht="15" hidden="false" customHeight="true" outlineLevel="0" collapsed="false">
      <c r="B58" s="110" t="s">
        <v>929</v>
      </c>
      <c r="C58" s="111" t="s">
        <v>930</v>
      </c>
      <c r="D58" s="111" t="s">
        <v>931</v>
      </c>
      <c r="E58" s="112" t="n">
        <v>10</v>
      </c>
      <c r="F58" s="112" t="n">
        <v>7</v>
      </c>
      <c r="G58" s="112" t="n">
        <v>50</v>
      </c>
      <c r="H58" s="113" t="n">
        <f aca="false">E58*F58*G58</f>
        <v>3500</v>
      </c>
      <c r="I58" s="114" t="s">
        <v>932</v>
      </c>
    </row>
    <row r="59" customFormat="false" ht="15" hidden="false" customHeight="true" outlineLevel="0" collapsed="false">
      <c r="B59" s="115" t="s">
        <v>933</v>
      </c>
      <c r="C59" s="30" t="s">
        <v>934</v>
      </c>
      <c r="D59" s="30" t="s">
        <v>892</v>
      </c>
      <c r="E59" s="32" t="n">
        <v>1</v>
      </c>
      <c r="F59" s="32" t="n">
        <v>7</v>
      </c>
      <c r="G59" s="32" t="n">
        <v>100</v>
      </c>
      <c r="H59" s="116" t="n">
        <f aca="false">E59*F59*G59</f>
        <v>700</v>
      </c>
      <c r="I59" s="117" t="s">
        <v>935</v>
      </c>
    </row>
    <row r="60" customFormat="false" ht="15" hidden="false" customHeight="true" outlineLevel="0" collapsed="false">
      <c r="B60" s="115" t="s">
        <v>936</v>
      </c>
      <c r="C60" s="30" t="s">
        <v>937</v>
      </c>
      <c r="D60" s="30" t="s">
        <v>803</v>
      </c>
      <c r="E60" s="30" t="n">
        <v>2</v>
      </c>
      <c r="F60" s="30" t="n">
        <v>5</v>
      </c>
      <c r="G60" s="30" t="n">
        <v>80</v>
      </c>
      <c r="H60" s="116" t="n">
        <f aca="false">E60*F60*G60</f>
        <v>800</v>
      </c>
      <c r="I60" s="117" t="s">
        <v>938</v>
      </c>
    </row>
    <row r="61" customFormat="false" ht="15" hidden="false" customHeight="true" outlineLevel="0" collapsed="false">
      <c r="B61" s="118" t="s">
        <v>939</v>
      </c>
      <c r="C61" s="118"/>
      <c r="D61" s="118"/>
      <c r="E61" s="118"/>
      <c r="F61" s="118"/>
      <c r="G61" s="118"/>
      <c r="H61" s="119" t="n">
        <f aca="false">SUM(H54:H60)</f>
        <v>18300</v>
      </c>
      <c r="I61" s="120"/>
    </row>
    <row r="62" customFormat="false" ht="15" hidden="false" customHeight="true" outlineLevel="0" collapsed="false">
      <c r="B62" s="26" t="s">
        <v>940</v>
      </c>
      <c r="C62" s="26"/>
      <c r="D62" s="26"/>
      <c r="E62" s="26"/>
      <c r="F62" s="26"/>
      <c r="G62" s="26"/>
      <c r="H62" s="26"/>
      <c r="I62" s="26"/>
    </row>
    <row r="63" customFormat="false" ht="15" hidden="false" customHeight="true" outlineLevel="0" collapsed="false">
      <c r="B63" s="110" t="s">
        <v>941</v>
      </c>
      <c r="C63" s="111" t="s">
        <v>942</v>
      </c>
      <c r="D63" s="111" t="s">
        <v>943</v>
      </c>
      <c r="E63" s="112" t="n">
        <v>1</v>
      </c>
      <c r="F63" s="112" t="n">
        <v>30</v>
      </c>
      <c r="G63" s="112" t="n">
        <v>1500</v>
      </c>
      <c r="H63" s="113" t="n">
        <f aca="false">E63*F63*G63</f>
        <v>45000</v>
      </c>
      <c r="I63" s="114" t="s">
        <v>944</v>
      </c>
    </row>
    <row r="64" customFormat="false" ht="15" hidden="false" customHeight="true" outlineLevel="0" collapsed="false">
      <c r="B64" s="110" t="s">
        <v>945</v>
      </c>
      <c r="C64" s="110" t="s">
        <v>946</v>
      </c>
      <c r="D64" s="110" t="s">
        <v>803</v>
      </c>
      <c r="E64" s="110" t="n">
        <v>0.2</v>
      </c>
      <c r="F64" s="110" t="n">
        <v>30</v>
      </c>
      <c r="G64" s="110" t="n">
        <v>500</v>
      </c>
      <c r="H64" s="110" t="n">
        <f aca="false">E64*F64*G64</f>
        <v>3000</v>
      </c>
      <c r="I64" s="110" t="s">
        <v>947</v>
      </c>
    </row>
    <row r="65" customFormat="false" ht="15" hidden="false" customHeight="true" outlineLevel="0" collapsed="false">
      <c r="B65" s="118" t="s">
        <v>948</v>
      </c>
      <c r="C65" s="118"/>
      <c r="D65" s="118"/>
      <c r="E65" s="118"/>
      <c r="F65" s="118"/>
      <c r="G65" s="118"/>
      <c r="H65" s="119" t="n">
        <f aca="false">SUM(H63:H64)</f>
        <v>48000</v>
      </c>
      <c r="I65" s="120"/>
    </row>
    <row r="67" customFormat="false" ht="19.5" hidden="false" customHeight="true" outlineLevel="0" collapsed="false">
      <c r="B67" s="122" t="s">
        <v>949</v>
      </c>
      <c r="C67" s="122"/>
      <c r="D67" s="122"/>
      <c r="E67" s="122"/>
      <c r="F67" s="122"/>
      <c r="G67" s="122"/>
      <c r="H67" s="123" t="n">
        <f aca="false">H13+H23+H33+H40+H52+H61+H65</f>
        <v>211170</v>
      </c>
      <c r="I67" s="124"/>
    </row>
    <row r="69" customFormat="false" ht="15" hidden="false" customHeight="false" outlineLevel="0" collapsed="false">
      <c r="B69" s="125" t="s">
        <v>950</v>
      </c>
      <c r="C69" s="125"/>
      <c r="D69" s="125"/>
      <c r="E69" s="125"/>
      <c r="F69" s="125"/>
      <c r="G69" s="125"/>
      <c r="H69" s="125"/>
      <c r="I69" s="125"/>
    </row>
  </sheetData>
  <mergeCells count="26">
    <mergeCell ref="B1:I1"/>
    <mergeCell ref="B2:I2"/>
    <mergeCell ref="B5:I5"/>
    <mergeCell ref="B13:G13"/>
    <mergeCell ref="B14:I14"/>
    <mergeCell ref="C14:G14"/>
    <mergeCell ref="B16:I16"/>
    <mergeCell ref="B23:G23"/>
    <mergeCell ref="B24:I24"/>
    <mergeCell ref="C25:G25"/>
    <mergeCell ref="B27:I27"/>
    <mergeCell ref="B33:G33"/>
    <mergeCell ref="B34:I34"/>
    <mergeCell ref="C38:G38"/>
    <mergeCell ref="B40:I40"/>
    <mergeCell ref="B41:I41"/>
    <mergeCell ref="C50:G50"/>
    <mergeCell ref="B52:I52"/>
    <mergeCell ref="B53:I53"/>
    <mergeCell ref="C60:G60"/>
    <mergeCell ref="B61:G61"/>
    <mergeCell ref="B62:G62"/>
    <mergeCell ref="B64:I64"/>
    <mergeCell ref="B65:G65"/>
    <mergeCell ref="B67:G67"/>
    <mergeCell ref="B69:I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2026-05-26T00:42:51Z</dcterms:created>
  <dc:creator>openpyxl</dc:creator>
  <dc:description/>
  <dc:language>en-US</dc:language>
  <cp:lastModifiedBy/>
  <dcterms:modified xsi:type="dcterms:W3CDTF">2026-05-26T01:17:06Z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