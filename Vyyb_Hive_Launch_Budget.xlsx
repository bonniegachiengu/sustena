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NU PLANNER" sheetId="2" state="visible" r:id="rId4"/>
    <sheet name="HIVE KITCHEN" sheetId="3" state="visible" r:id="rId5"/>
    <sheet name="OUTLET 1" sheetId="4" state="visible" r:id="rId6"/>
    <sheet name="TECHNOLOGY" sheetId="5" state="visible" r:id="rId7"/>
    <sheet name="LICENSING" sheetId="6" state="visible" r:id="rId8"/>
    <sheet name="STAFFING" sheetId="7" state="visible" r:id="rId9"/>
    <sheet name="WORKING CAPITAL" sheetId="8" state="visible" r:id="rId10"/>
    <sheet name="3-MONTH FORECAST" sheetId="9" state="visible" r:id="rId11"/>
    <sheet name="RECIPE INVENTO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<sst xmlns="http://schemas.openxmlformats.org/spreadsheetml/2006/main" count="1176" uniqueCount="793">
  <si>
    <t xml:space="preserve">VYYB FOOD BUSINESS — LAUNCH BUDGET</t>
  </si>
  <si>
    <t xml:space="preserve">The Hive (Commissary Kitchen) + Outlet 1 · Nairobi, Kenya · 2026</t>
  </si>
  <si>
    <t xml:space="preserve">Includes: Kitchen build-out · Outlet fit-out · Technology · Licensing · Staffing · Working capital · Online channels</t>
  </si>
  <si>
    <t xml:space="preserve">THREE-SCENARIO BUDGET SUMMARY</t>
  </si>
  <si>
    <t xml:space="preserve">CATEGORY</t>
  </si>
  <si>
    <t xml:space="preserve">LEAN (KES)
Minimum viable</t>
  </si>
  <si>
    <t xml:space="preserve">STANDARD (KES)
Recommended</t>
  </si>
  <si>
    <t xml:space="preserve">FULL (KES)
Scale-ready</t>
  </si>
  <si>
    <t xml:space="preserve">NOTES</t>
  </si>
  <si>
    <t xml:space="preserve">1. Hive Kitchen Equipment</t>
  </si>
  <si>
    <t xml:space="preserve">Commercial range, oven, fryer, fridges, prep, smallwares</t>
  </si>
  <si>
    <t xml:space="preserve">2. Hive Fit-Out &amp; Space</t>
  </si>
  <si>
    <t xml:space="preserve">Rent deposit (3 mo) + ventilation + drainage + tiling</t>
  </si>
  <si>
    <t xml:space="preserve">3. Outlet 1 Fit-Out &amp; Space</t>
  </si>
  <si>
    <t xml:space="preserve">Rent deposit + counter + signage + furniture + A/C</t>
  </si>
  <si>
    <t xml:space="preserve">4. Technology &amp; Systems</t>
  </si>
  <si>
    <t xml:space="preserve">POS, KDS, tablets, Vyyb OS, routers, CCTV, label printer</t>
  </si>
  <si>
    <t xml:space="preserve">5. Fire Safety &amp; Compliance</t>
  </si>
  <si>
    <t xml:space="preserve">Suppression system, extinguishers, safety audit</t>
  </si>
  <si>
    <t xml:space="preserve">6. Licensing &amp; Permits</t>
  </si>
  <si>
    <t xml:space="preserve">County permit, health cert, food handlers, NEMA</t>
  </si>
  <si>
    <t xml:space="preserve">7. First Month Staffing</t>
  </si>
  <si>
    <t xml:space="preserve">Kitchen team + outlet team (see Staffing sheet)</t>
  </si>
  <si>
    <t xml:space="preserve">8. Working Capital — Inventory</t>
  </si>
  <si>
    <t xml:space="preserve">Raw materials for 1 month at launch volume</t>
  </si>
  <si>
    <t xml:space="preserve">9. Working Capital — Packaging</t>
  </si>
  <si>
    <t xml:space="preserve">Takeaway, delivery, B2B, and sealing labels</t>
  </si>
  <si>
    <t xml:space="preserve">10. Working Capital — Utilities</t>
  </si>
  <si>
    <t xml:space="preserve">Gas, electricity, water, WiFi (1st month + deposits)</t>
  </si>
  <si>
    <t xml:space="preserve">11. Marketing Launch</t>
  </si>
  <si>
    <t xml:space="preserve">Photography, launch event, flyers, influencer seeding</t>
  </si>
  <si>
    <t xml:space="preserve">12. Contingency (10%)</t>
  </si>
  <si>
    <t xml:space="preserve">Buffer for overruns, price changes, surprise costs</t>
  </si>
  <si>
    <t xml:space="preserve">★  GRAND TOTAL — ALL-IN LAUNCH COST</t>
  </si>
  <si>
    <t xml:space="preserve">See detail sheets →</t>
  </si>
  <si>
    <t xml:space="preserve">SCENARIO DEFINITIONS</t>
  </si>
  <si>
    <t xml:space="preserve">LEAN</t>
  </si>
  <si>
    <t xml:space="preserve">Minimum viable operation. Shared / ghost kitchen rental considered. Second-hand equipment. No A/C at outlet. 4-person total team. Enough to test demand and validate unit economics before investing more.</t>
  </si>
  <si>
    <t xml:space="preserve">STANDARD</t>
  </si>
  <si>
    <t xml:space="preserve">Owned commissary space (small lease). Full commercial equipment set (new). Properly branded outlet. 7-person team. Ready for Glovo/Uber Eats day 1. This is the recommended path.</t>
  </si>
  <si>
    <t xml:space="preserve">FULL</t>
  </si>
  <si>
    <t xml:space="preserve">Scale-ready from day 1. Larger commissary (serves 2+ outlets immediately). Premium equipment. Full CCTV, blast chiller, walk-in cold room. 10-person team. B2B delivery van leased.</t>
  </si>
  <si>
    <t xml:space="preserve">⚠  All figures in Kenyan Shillings (KES). Blue = input assumption. Black = formula. Source: Nairobi market rates, May 2026.</t>
  </si>
  <si>
    <t xml:space="preserve">VYYB MENU PLANNER — Active · Aspirational · Inactive</t>
  </si>
  <si>
    <t xml:space="preserve">Mark each recipe as ACTIVE (cooking now), ASPIRATIONAL (next 90 days), or INACTIVE. Budget covers ACTIVE + ASPIRATIONAL only.</t>
  </si>
  <si>
    <t xml:space="preserve">🟢 ACTIVE = currently on menu   🟡 ASPIRATIONAL = launch within 90 days   🔴 INACTIVE = not planned (excluded from budget)</t>
  </si>
  <si>
    <t xml:space="preserve">RECIPE / DISH NAME</t>
  </si>
  <si>
    <t xml:space="preserve">STATUS</t>
  </si>
  <si>
    <t xml:space="preserve">EST. DAILY
VOLUME (units)</t>
  </si>
  <si>
    <t xml:space="preserve">AVG SELLING
PRICE (KES)</t>
  </si>
  <si>
    <t xml:space="preserve">EST. FOOD
COST %</t>
  </si>
  <si>
    <t xml:space="preserve">KEY INGREDIENTS
(top 3)</t>
  </si>
  <si>
    <t xml:space="preserve">NOTES / CHANNEL</t>
  </si>
  <si>
    <t xml:space="preserve">RICE &amp; GRAIN DISHES</t>
  </si>
  <si>
    <t xml:space="preserve">Pilau (Beef)</t>
  </si>
  <si>
    <t xml:space="preserve">Rice</t>
  </si>
  <si>
    <t xml:space="preserve">ACTIVE</t>
  </si>
  <si>
    <t xml:space="preserve">Basmati, beef, pilau masala</t>
  </si>
  <si>
    <t xml:space="preserve">Walk-in + Glovo + WhatsApp</t>
  </si>
  <si>
    <t xml:space="preserve">Pilau (Chicken)</t>
  </si>
  <si>
    <t xml:space="preserve">Basmati, chicken thigh, masala</t>
  </si>
  <si>
    <t xml:space="preserve">Walk-in + Glovo</t>
  </si>
  <si>
    <t xml:space="preserve">Plain Rice + Stew</t>
  </si>
  <si>
    <t xml:space="preserve">Long grain rice, beef/chicken</t>
  </si>
  <si>
    <t xml:space="preserve">Walk-in; budget lunch</t>
  </si>
  <si>
    <t xml:space="preserve">Biryani (Chicken)</t>
  </si>
  <si>
    <t xml:space="preserve">ASPIRATIONAL</t>
  </si>
  <si>
    <t xml:space="preserve">Basmati, chicken, biryani spice</t>
  </si>
  <si>
    <t xml:space="preserve">WhatsApp pre-order + B2B</t>
  </si>
  <si>
    <t xml:space="preserve">Wali wa Nazi</t>
  </si>
  <si>
    <t xml:space="preserve">Rice, coconut milk, coast spice</t>
  </si>
  <si>
    <t xml:space="preserve">Coastal menu addition</t>
  </si>
  <si>
    <t xml:space="preserve">Fried Rice</t>
  </si>
  <si>
    <t xml:space="preserve">INACTIVE</t>
  </si>
  <si>
    <t xml:space="preserve">Rice, eggs, veg</t>
  </si>
  <si>
    <t xml:space="preserve">Not in current lineup</t>
  </si>
  <si>
    <t xml:space="preserve">UGALI DISHES</t>
  </si>
  <si>
    <t xml:space="preserve">Ugali + Beef Stew</t>
  </si>
  <si>
    <t xml:space="preserve">Ugali</t>
  </si>
  <si>
    <t xml:space="preserve">Maize flour, beef, tomatoes</t>
  </si>
  <si>
    <t xml:space="preserve">Core menu; high volume</t>
  </si>
  <si>
    <t xml:space="preserve">Ugali + Chicken</t>
  </si>
  <si>
    <t xml:space="preserve">Maize flour, chicken, greens</t>
  </si>
  <si>
    <t xml:space="preserve">Core menu</t>
  </si>
  <si>
    <t xml:space="preserve">Ugali + Matumbo</t>
  </si>
  <si>
    <t xml:space="preserve">Maize flour, matumbo, onions</t>
  </si>
  <si>
    <t xml:space="preserve">Walk-in; loyal base</t>
  </si>
  <si>
    <t xml:space="preserve">Ugali + Omena</t>
  </si>
  <si>
    <t xml:space="preserve">Maize flour, omena, sukuma</t>
  </si>
  <si>
    <t xml:space="preserve">Budget option; high margin</t>
  </si>
  <si>
    <t xml:space="preserve">Ugali + Fish (tilapia)</t>
  </si>
  <si>
    <t xml:space="preserve">Maize flour, tilapia, tomatoes</t>
  </si>
  <si>
    <t xml:space="preserve">Walk-in</t>
  </si>
  <si>
    <t xml:space="preserve">Ugali + Githeri</t>
  </si>
  <si>
    <t xml:space="preserve">Maize flour, maize+beans</t>
  </si>
  <si>
    <t xml:space="preserve">Affordable community dish</t>
  </si>
  <si>
    <t xml:space="preserve">Ugali + Nyama Choma</t>
  </si>
  <si>
    <t xml:space="preserve">Maize flour, goat/beef choma</t>
  </si>
  <si>
    <t xml:space="preserve">Weekend + B2B events</t>
  </si>
  <si>
    <t xml:space="preserve">CHAPATI DISHES</t>
  </si>
  <si>
    <t xml:space="preserve">Chapati + Beef Stew</t>
  </si>
  <si>
    <t xml:space="preserve">Chapati</t>
  </si>
  <si>
    <t xml:space="preserve">Wheat flour, beef, spices</t>
  </si>
  <si>
    <t xml:space="preserve">Core; popular walk-in</t>
  </si>
  <si>
    <t xml:space="preserve">Chapati + Chicken</t>
  </si>
  <si>
    <t xml:space="preserve">Wheat flour, chicken</t>
  </si>
  <si>
    <t xml:space="preserve">Core</t>
  </si>
  <si>
    <t xml:space="preserve">Chapati + Matumbo</t>
  </si>
  <si>
    <t xml:space="preserve">Wheat flour, matumbo</t>
  </si>
  <si>
    <t xml:space="preserve">Loyal customer base</t>
  </si>
  <si>
    <t xml:space="preserve">Chapati Roll (Egg)</t>
  </si>
  <si>
    <t xml:space="preserve">Wheat flour, egg, kachumbari</t>
  </si>
  <si>
    <t xml:space="preserve">Breakfast + Glovo snack</t>
  </si>
  <si>
    <t xml:space="preserve">Chapati Roll (Chicken)</t>
  </si>
  <si>
    <t xml:space="preserve">Wheat flour, chicken, sauce</t>
  </si>
  <si>
    <t xml:space="preserve">Glovo + WhatsApp</t>
  </si>
  <si>
    <t xml:space="preserve">Chapati + Kidney Beans</t>
  </si>
  <si>
    <t xml:space="preserve">Wheat flour, beans, tomatoes</t>
  </si>
  <si>
    <t xml:space="preserve">Vegetarian option</t>
  </si>
  <si>
    <t xml:space="preserve">Mandazi</t>
  </si>
  <si>
    <t xml:space="preserve">Wheat flour, coconut, sugar</t>
  </si>
  <si>
    <t xml:space="preserve">Breakfast + chai pairing</t>
  </si>
  <si>
    <t xml:space="preserve">Mkate wa Sinia</t>
  </si>
  <si>
    <t xml:space="preserve">Wheat flour, coconut</t>
  </si>
  <si>
    <t xml:space="preserve">PROTEINS &amp; GRILLS</t>
  </si>
  <si>
    <t xml:space="preserve">Nyama Choma (goat, per 500g)</t>
  </si>
  <si>
    <t xml:space="preserve">Grill</t>
  </si>
  <si>
    <t xml:space="preserve">Goat, salt, spice rub</t>
  </si>
  <si>
    <t xml:space="preserve">B2B events + walk-in Fri-Sun</t>
  </si>
  <si>
    <t xml:space="preserve">Nyama Choma (beef)</t>
  </si>
  <si>
    <t xml:space="preserve">Beef short ribs, spice</t>
  </si>
  <si>
    <t xml:space="preserve">Weekend special</t>
  </si>
  <si>
    <t xml:space="preserve">Quarter Chicken (roasted)</t>
  </si>
  <si>
    <t xml:space="preserve">Whole chicken, herbs, lemon</t>
  </si>
  <si>
    <t xml:space="preserve">Glovo + B2B</t>
  </si>
  <si>
    <t xml:space="preserve">Kuku Choma (half)</t>
  </si>
  <si>
    <t xml:space="preserve">Chicken, garlic, spice</t>
  </si>
  <si>
    <t xml:space="preserve">B2B events</t>
  </si>
  <si>
    <t xml:space="preserve">Samosas (beef, 3 pcs)</t>
  </si>
  <si>
    <t xml:space="preserve">Snack</t>
  </si>
  <si>
    <t xml:space="preserve">Wheat, beef mince, spices</t>
  </si>
  <si>
    <t xml:space="preserve">Glovo + walk-in snack</t>
  </si>
  <si>
    <t xml:space="preserve">Samosas (veggie)</t>
  </si>
  <si>
    <t xml:space="preserve">Wheat, veg mix</t>
  </si>
  <si>
    <t xml:space="preserve">Spring Rolls (4 pcs)</t>
  </si>
  <si>
    <t xml:space="preserve">Wrapper, veg</t>
  </si>
  <si>
    <t xml:space="preserve">Not currently made</t>
  </si>
  <si>
    <t xml:space="preserve">Smokies + Kachumbari</t>
  </si>
  <si>
    <t xml:space="preserve">Smokies, tomato, onion</t>
  </si>
  <si>
    <t xml:space="preserve">Fast walk-in; high turns</t>
  </si>
  <si>
    <t xml:space="preserve">SOUPS &amp; STEWS (standalone / B2B bulk)</t>
  </si>
  <si>
    <t xml:space="preserve">Beef Stew (bulk, per 5kg)</t>
  </si>
  <si>
    <t xml:space="preserve">Stew</t>
  </si>
  <si>
    <t xml:space="preserve">Beef, tomatoes, onion, spice</t>
  </si>
  <si>
    <t xml:space="preserve">Hive production; B2B supply</t>
  </si>
  <si>
    <t xml:space="preserve">Chicken Stew (bulk, 5kg)</t>
  </si>
  <si>
    <t xml:space="preserve">Chicken, coconut, spice</t>
  </si>
  <si>
    <t xml:space="preserve">B2B + outlet supply</t>
  </si>
  <si>
    <t xml:space="preserve">Matumbo Stew (bulk)</t>
  </si>
  <si>
    <t xml:space="preserve">Matumbo, tomatoes, greens</t>
  </si>
  <si>
    <t xml:space="preserve">Bulk for outlet</t>
  </si>
  <si>
    <t xml:space="preserve">Mukimo</t>
  </si>
  <si>
    <t xml:space="preserve">Potatoes, peas, corn, greens</t>
  </si>
  <si>
    <t xml:space="preserve">Central Kenya market</t>
  </si>
  <si>
    <t xml:space="preserve">Githeri (plain)</t>
  </si>
  <si>
    <t xml:space="preserve">Maize, beans</t>
  </si>
  <si>
    <t xml:space="preserve">Budget option; low food cost</t>
  </si>
  <si>
    <t xml:space="preserve">Lentil Dhal</t>
  </si>
  <si>
    <t xml:space="preserve">Red lentils, spice, tomatoes</t>
  </si>
  <si>
    <t xml:space="preserve">Healthy + vegetarian</t>
  </si>
  <si>
    <t xml:space="preserve">Oxtail Stew</t>
  </si>
  <si>
    <t xml:space="preserve">Oxtail, veg</t>
  </si>
  <si>
    <t xml:space="preserve">Too slow for QSR throughput</t>
  </si>
  <si>
    <t xml:space="preserve">BEVERAGES</t>
  </si>
  <si>
    <t xml:space="preserve">Chai (tea)</t>
  </si>
  <si>
    <t xml:space="preserve">Drink</t>
  </si>
  <si>
    <t xml:space="preserve">Tea leaves, milk, sugar</t>
  </si>
  <si>
    <t xml:space="preserve">Breakfast rush; walk-in</t>
  </si>
  <si>
    <t xml:space="preserve">Black coffee (instant)</t>
  </si>
  <si>
    <t xml:space="preserve">Nescafé, water, milk</t>
  </si>
  <si>
    <t xml:space="preserve">Soda (Coke/Fanta/Sprite)</t>
  </si>
  <si>
    <t xml:space="preserve">Bottled/canned soda</t>
  </si>
  <si>
    <t xml:space="preserve">Resale; no prep needed</t>
  </si>
  <si>
    <t xml:space="preserve">Fresh Juice (passion/mango)</t>
  </si>
  <si>
    <t xml:space="preserve">Fresh fruit, water, sugar</t>
  </si>
  <si>
    <t xml:space="preserve">Outlet + Glovo</t>
  </si>
  <si>
    <t xml:space="preserve">Uji (porridge)</t>
  </si>
  <si>
    <t xml:space="preserve">Millet/sorghum flour, sugar</t>
  </si>
  <si>
    <t xml:space="preserve">Breakfast channel</t>
  </si>
  <si>
    <t xml:space="preserve">Energy drinks (Predator etc)</t>
  </si>
  <si>
    <t xml:space="preserve">Ready-to-sell cans</t>
  </si>
  <si>
    <t xml:space="preserve">Resale only; no prep</t>
  </si>
  <si>
    <t xml:space="preserve">Smoothies</t>
  </si>
  <si>
    <t xml:space="preserve">Fruit, yoghurt, milk</t>
  </si>
  <si>
    <t xml:space="preserve">Requires blender time; low ROI</t>
  </si>
  <si>
    <t xml:space="preserve">MENU SUMMARY</t>
  </si>
  <si>
    <t xml:space="preserve">ACTIVE recipes (costing now)</t>
  </si>
  <si>
    <t xml:space="preserve">ASPIRATIONAL recipes (90d plan)</t>
  </si>
  <si>
    <t xml:space="preserve">INACTIVE recipes (excluded)</t>
  </si>
  <si>
    <t xml:space="preserve">Est. daily covers (Active+Asp)</t>
  </si>
  <si>
    <t xml:space="preserve">⚠  Update STATUS column to match your actual current menu. Green = in production today. Yellow = launch-ready within 90 days. Working capital and inventory are sized for GREEN + YELLOW only.</t>
  </si>
  <si>
    <t xml:space="preserve">THE HIVE — Commissary Kitchen Detailed Budget</t>
  </si>
  <si>
    <t xml:space="preserve">Central production kitchen: serves 2 outlets + WhatsApp/App/Glovo/Uber Eats + B2B supply</t>
  </si>
  <si>
    <t xml:space="preserve">A.  SPACE &amp; FIT-OUT</t>
  </si>
  <si>
    <t xml:space="preserve">ITEM / DESCRIPTION</t>
  </si>
  <si>
    <t xml:space="preserve">UNIT COST (KES)</t>
  </si>
  <si>
    <t xml:space="preserve">QTY</t>
  </si>
  <si>
    <t xml:space="preserve">TOTAL (KES)</t>
  </si>
  <si>
    <t xml:space="preserve">SCENARIO</t>
  </si>
  <si>
    <t xml:space="preserve">NOTES / SPEC</t>
  </si>
  <si>
    <t xml:space="preserve">Lease deposit — 3 months upfront</t>
  </si>
  <si>
    <t xml:space="preserve">All</t>
  </si>
  <si>
    <t xml:space="preserve">Industrial area: Ruaraka/Kasarani/Kahawa ~40sqm</t>
  </si>
  <si>
    <t xml:space="preserve">Electrical installation (3-phase)</t>
  </si>
  <si>
    <t xml:space="preserve">Commercial 3-phase for heavy equipment</t>
  </si>
  <si>
    <t xml:space="preserve">Plumbing &amp; drainage (floor drains x4)</t>
  </si>
  <si>
    <t xml:space="preserve">HACCP-compliant floor drains + grease trap</t>
  </si>
  <si>
    <t xml:space="preserve">Floor tiling (non-slip, food-grade)</t>
  </si>
  <si>
    <t xml:space="preserve">Std/Full</t>
  </si>
  <si>
    <t xml:space="preserve">Per sqm rate, 40sqm kitchen</t>
  </si>
  <si>
    <t xml:space="preserve">Wall tiling (to 2m height, 3 walls)</t>
  </si>
  <si>
    <t xml:space="preserve">Food-safe ceramic, easy-clean</t>
  </si>
  <si>
    <t xml:space="preserve">Exhaust hood + ducting + fan</t>
  </si>
  <si>
    <t xml:space="preserve">Canopy hood over range + convection oven</t>
  </si>
  <si>
    <t xml:space="preserve">Gas piping installation + regulator</t>
  </si>
  <si>
    <t xml:space="preserve">Manifold to range + fryers</t>
  </si>
  <si>
    <t xml:space="preserve">Ventilation / HVAC (extraction)</t>
  </si>
  <si>
    <t xml:space="preserve">Kitchen extract fan + fresh air supply</t>
  </si>
  <si>
    <t xml:space="preserve">Handwashing sinks × 2 (stainless)</t>
  </si>
  <si>
    <t xml:space="preserve">HACCP requirement — dedicated handwash</t>
  </si>
  <si>
    <t xml:space="preserve">3-compartment warewash sink</t>
  </si>
  <si>
    <t xml:space="preserve">Wash / rinse / sanitise</t>
  </si>
  <si>
    <t xml:space="preserve">Lighting (commercial LED, 8 fittings)</t>
  </si>
  <si>
    <t xml:space="preserve">Bright food-safe lighting</t>
  </si>
  <si>
    <t xml:space="preserve">SUBTOTAL — Space &amp; Fit-Out</t>
  </si>
  <si>
    <t xml:space="preserve">B.  COOKING EQUIPMENT</t>
  </si>
  <si>
    <t xml:space="preserve">Commercial gas range — 6 burner (stainless)</t>
  </si>
  <si>
    <t xml:space="preserve">New: Moffat/Falcon/local. Second-hand -30%</t>
  </si>
  <si>
    <t xml:space="preserve">Commercial convection oven — half-deck</t>
  </si>
  <si>
    <t xml:space="preserve">Half-deck saves space; full deck for Full</t>
  </si>
  <si>
    <t xml:space="preserve">Commercial deep fryer — double basket</t>
  </si>
  <si>
    <t xml:space="preserve">15L+15L capacity; thermostat control</t>
  </si>
  <si>
    <t xml:space="preserve">Commercial griddle / flat top (60cm)</t>
  </si>
  <si>
    <t xml:space="preserve">For chapati, nyama choma, flat bread</t>
  </si>
  <si>
    <t xml:space="preserve">Commercial charcoal grill / broiler</t>
  </si>
  <si>
    <t xml:space="preserve">Full</t>
  </si>
  <si>
    <t xml:space="preserve">B2B event catering + smoky profiles</t>
  </si>
  <si>
    <t xml:space="preserve">Bain marie — 4 well (hot hold)</t>
  </si>
  <si>
    <t xml:space="preserve">Keeps batches at temp during service</t>
  </si>
  <si>
    <t xml:space="preserve">Commercial rice cooker (20L)</t>
  </si>
  <si>
    <t xml:space="preserve">High-volume staple — faster than range</t>
  </si>
  <si>
    <t xml:space="preserve">Pressure cooker (commercial, 20L)</t>
  </si>
  <si>
    <t xml:space="preserve">Tenderising proteins at speed</t>
  </si>
  <si>
    <t xml:space="preserve">Induction burner × 2 (portable, backup)</t>
  </si>
  <si>
    <t xml:space="preserve">Flexible station; power backup for gas outage</t>
  </si>
  <si>
    <t xml:space="preserve">SUBTOTAL — Cooking Equipment</t>
  </si>
  <si>
    <t xml:space="preserve">C.  REFRIGERATION &amp; COLD STORAGE</t>
  </si>
  <si>
    <t xml:space="preserve">Upright 2-door commercial fridge (600L)</t>
  </si>
  <si>
    <t xml:space="preserve">Stainless, reach-in; raw materials chilled</t>
  </si>
  <si>
    <t xml:space="preserve">Upright 2-door commercial freezer (600L)</t>
  </si>
  <si>
    <t xml:space="preserve">Frozen proteins, pre-made batches</t>
  </si>
  <si>
    <t xml:space="preserve">Chest freezer (300L, secondary)</t>
  </si>
  <si>
    <t xml:space="preserve">Overflow frozen stock</t>
  </si>
  <si>
    <t xml:space="preserve">Under-counter bar fridge (for outlet supply)</t>
  </si>
  <si>
    <t xml:space="preserve">Chilled finished goods dispatch to outlet</t>
  </si>
  <si>
    <t xml:space="preserve">Blast chiller (5-tray, Phase 2)</t>
  </si>
  <si>
    <t xml:space="preserve">Rapid cooling to safe temp; HACCP gold standard</t>
  </si>
  <si>
    <t xml:space="preserve">Ice machine (countertop)</t>
  </si>
  <si>
    <t xml:space="preserve">For beverages and food-safe ice</t>
  </si>
  <si>
    <t xml:space="preserve">SUBTOTAL — Refrigeration</t>
  </si>
  <si>
    <t xml:space="preserve">D.  PREPARATION EQUIPMENT</t>
  </si>
  <si>
    <t xml:space="preserve">Stainless prep table (1.5m × 0.7m)</t>
  </si>
  <si>
    <t xml:space="preserve">NSF food-grade; heavy gauge</t>
  </si>
  <si>
    <t xml:space="preserve">Commercial food mixer — 20L bowl</t>
  </si>
  <si>
    <t xml:space="preserve">Dough, batters, marinades; Hobart-style</t>
  </si>
  <si>
    <t xml:space="preserve">Commercial blender (heavy duty, 2L jar)</t>
  </si>
  <si>
    <t xml:space="preserve">Smoothies, sauces, soups</t>
  </si>
  <si>
    <t xml:space="preserve">Commercial food processor (3L)</t>
  </si>
  <si>
    <t xml:space="preserve">Rapid veg prep</t>
  </si>
  <si>
    <t xml:space="preserve">Meat mincer / grinder</t>
  </si>
  <si>
    <t xml:space="preserve">Mince fresh; control quality</t>
  </si>
  <si>
    <t xml:space="preserve">Commercial slicer (manual deli)</t>
  </si>
  <si>
    <t xml:space="preserve">Sliced proteins for wraps etc.</t>
  </si>
  <si>
    <t xml:space="preserve">Vegetable peeler (electric, commercial)</t>
  </si>
  <si>
    <t xml:space="preserve">High volume veg prep</t>
  </si>
  <si>
    <t xml:space="preserve">NSF stainless shelving unit (5-tier)</t>
  </si>
  <si>
    <t xml:space="preserve">Storage: dry goods, smallwares</t>
  </si>
  <si>
    <t xml:space="preserve">Ingredient storage bins (set of 20)</t>
  </si>
  <si>
    <t xml:space="preserve">Flour, sugar, spices — labelled</t>
  </si>
  <si>
    <t xml:space="preserve">SUBTOTAL — Prep Equipment</t>
  </si>
  <si>
    <t xml:space="preserve">E.  SMALLWARES &amp; UTENSILS</t>
  </si>
  <si>
    <t xml:space="preserve">Pots set: 20L, 30L, 50L, 80L</t>
  </si>
  <si>
    <t xml:space="preserve">Heavy gauge stainless</t>
  </si>
  <si>
    <t xml:space="preserve">Hotel pans / GN containers (set of 24)</t>
  </si>
  <si>
    <t xml:space="preserve">1/1, 1/2, 1/3 gastronorm + lids</t>
  </si>
  <si>
    <t xml:space="preserve">Knife set (10pc professional)</t>
  </si>
  <si>
    <t xml:space="preserve">Chef, boning, bread, paring, filleting</t>
  </si>
  <si>
    <t xml:space="preserve">HACCP colour-coded cutting boards × 6</t>
  </si>
  <si>
    <t xml:space="preserve">Red=raw meat, green=veg, blue=fish etc.</t>
  </si>
  <si>
    <t xml:space="preserve">Mixing bowls — stainless (set of 10)</t>
  </si>
  <si>
    <t xml:space="preserve">4L, 8L, 15L sizes</t>
  </si>
  <si>
    <t xml:space="preserve">Ladles, spatulas, tongs, whips (set)</t>
  </si>
  <si>
    <t xml:space="preserve">Full service set</t>
  </si>
  <si>
    <t xml:space="preserve">Colanders, strainers (set)</t>
  </si>
  <si>
    <t xml:space="preserve">Multiple sizes</t>
  </si>
  <si>
    <t xml:space="preserve">Probe thermometers × 4</t>
  </si>
  <si>
    <t xml:space="preserve">Digital; HACCP critical for safe temps</t>
  </si>
  <si>
    <t xml:space="preserve">Measuring jugs + scales (0.1g)</t>
  </si>
  <si>
    <t xml:space="preserve">Recipe standardisation</t>
  </si>
  <si>
    <t xml:space="preserve">Speed racks / sheet pan racks × 2</t>
  </si>
  <si>
    <t xml:space="preserve">Rolling oven racks; batch management</t>
  </si>
  <si>
    <t xml:space="preserve">Portion control cups + lids (500 pcs)</t>
  </si>
  <si>
    <t xml:space="preserve">Consistency across outlets</t>
  </si>
  <si>
    <t xml:space="preserve">Chafing dish set (6 units)</t>
  </si>
  <si>
    <t xml:space="preserve">Events &amp; B2B presentations</t>
  </si>
  <si>
    <t xml:space="preserve">Cleaning trolley + mop + buckets</t>
  </si>
  <si>
    <t xml:space="preserve">HACCP-dedicated cleaning station</t>
  </si>
  <si>
    <t xml:space="preserve">Aprons, hats, gloves (staff × 10)</t>
  </si>
  <si>
    <t xml:space="preserve">PPE for food safety compliance</t>
  </si>
  <si>
    <t xml:space="preserve">SUBTOTAL — Smallwares</t>
  </si>
  <si>
    <t xml:space="preserve">F.  FIRE SAFETY &amp; COMPLIANCE</t>
  </si>
  <si>
    <t xml:space="preserve">Ansul / wet chemical suppression system</t>
  </si>
  <si>
    <t xml:space="preserve">Over range and fryer — insurance requirement</t>
  </si>
  <si>
    <t xml:space="preserve">ABC fire extinguisher × 4</t>
  </si>
  <si>
    <t xml:space="preserve">Kitchen + entrance + back-of-house</t>
  </si>
  <si>
    <t xml:space="preserve">CO2 fire extinguisher (electrical room)</t>
  </si>
  <si>
    <t xml:space="preserve">Electrical panel protection</t>
  </si>
  <si>
    <t xml:space="preserve">First aid kit (commercial)</t>
  </si>
  <si>
    <t xml:space="preserve">OSHA requirement</t>
  </si>
  <si>
    <t xml:space="preserve">Fire exit signage + emergency lighting</t>
  </si>
  <si>
    <t xml:space="preserve">Compliant exit lighting</t>
  </si>
  <si>
    <t xml:space="preserve">Fire safety audit + compliance cert</t>
  </si>
  <si>
    <t xml:space="preserve">County fire department inspection fee</t>
  </si>
  <si>
    <t xml:space="preserve">HACCP plan documentation (consultant)</t>
  </si>
  <si>
    <t xml:space="preserve">Formal HACCP plan — required for B2B + exports</t>
  </si>
  <si>
    <t xml:space="preserve">SUBTOTAL — Fire &amp; Safety</t>
  </si>
  <si>
    <t xml:space="preserve">★  HIVE KITCHEN GRAND TOTAL</t>
  </si>
  <si>
    <t xml:space="preserve">OUTLET 1 — Street / Shop Fit-Out Detailed Budget</t>
  </si>
  <si>
    <t xml:space="preserve">Sales front receiving from The Hive; serves walk-in + delivery (Glovo / Uber Eats / WhatsApp)</t>
  </si>
  <si>
    <t xml:space="preserve">A.  SPACE &amp; STRUCTURAL FIT-OUT</t>
  </si>
  <si>
    <t xml:space="preserve">Street-facing or mall kiosk; ~15-25sqm</t>
  </si>
  <si>
    <t xml:space="preserve">Counter fabrication (stainless + wood)</t>
  </si>
  <si>
    <t xml:space="preserve">L-shaped service counter; food-grade finish</t>
  </si>
  <si>
    <t xml:space="preserve">Back-bar shelving + display</t>
  </si>
  <si>
    <t xml:space="preserve">Display for packaged products</t>
  </si>
  <si>
    <t xml:space="preserve">Partitioning / back-of-house wall</t>
  </si>
  <si>
    <t xml:space="preserve">Separate prep from service</t>
  </si>
  <si>
    <t xml:space="preserve">Electrical installation (single phase)</t>
  </si>
  <si>
    <t xml:space="preserve">Sockets for equipment, POS, lighting</t>
  </si>
  <si>
    <t xml:space="preserve">Plumbing — handwash basin</t>
  </si>
  <si>
    <t xml:space="preserve">HACCP minimum at outlet</t>
  </si>
  <si>
    <t xml:space="preserve">Floor finish (epoxy or non-slip tile)</t>
  </si>
  <si>
    <t xml:space="preserve">Food-safe, easy mop</t>
  </si>
  <si>
    <t xml:space="preserve">Air conditioning (split unit, 1.5HP)</t>
  </si>
  <si>
    <t xml:space="preserve">Customer comfort; keeps food fresh</t>
  </si>
  <si>
    <t xml:space="preserve">Outdoor fascia signage (fabricated)</t>
  </si>
  <si>
    <t xml:space="preserve">Aluminium composite, lightbox; Vyyb brand</t>
  </si>
  <si>
    <t xml:space="preserve">Menu boards — backlit LED (2 panels)</t>
  </si>
  <si>
    <t xml:space="preserve">A1 size, full-colour print + frame</t>
  </si>
  <si>
    <t xml:space="preserve">Seating — 4-seater sets × 3</t>
  </si>
  <si>
    <t xml:space="preserve">Stools + counter bar seating</t>
  </si>
  <si>
    <t xml:space="preserve">CCTV — 2 cameras + DVR recorder</t>
  </si>
  <si>
    <t xml:space="preserve">Security; also monitors service quality</t>
  </si>
  <si>
    <t xml:space="preserve">Roller shutter / security grille</t>
  </si>
  <si>
    <t xml:space="preserve">Overnight security; reduces insurance cost</t>
  </si>
  <si>
    <t xml:space="preserve">SUBTOTAL — Space &amp; Structural</t>
  </si>
  <si>
    <t xml:space="preserve">B.  FOOD SERVICE EQUIPMENT</t>
  </si>
  <si>
    <t xml:space="preserve">Bain marie / hot food display (6-well)</t>
  </si>
  <si>
    <t xml:space="preserve">Holds batches from Hive at serve temp</t>
  </si>
  <si>
    <t xml:space="preserve">Cold display refrigerator (grab &amp; go)</t>
  </si>
  <si>
    <t xml:space="preserve">Chilled drinks, cold meals, yoghurts</t>
  </si>
  <si>
    <t xml:space="preserve">Heat lamp (2 bulb, over counter)</t>
  </si>
  <si>
    <t xml:space="preserve">Keeps plated food warm at pass</t>
  </si>
  <si>
    <t xml:space="preserve">Countertop microwave (commercial)</t>
  </si>
  <si>
    <t xml:space="preserve">Quick reheat for outlier items</t>
  </si>
  <si>
    <t xml:space="preserve">Blender (consumer-grade, for drinks)</t>
  </si>
  <si>
    <t xml:space="preserve">Smoothies / fresh juice at outlet</t>
  </si>
  <si>
    <t xml:space="preserve">Ice bucket + scoop set</t>
  </si>
  <si>
    <t xml:space="preserve">Cold drinks service</t>
  </si>
  <si>
    <t xml:space="preserve">Chafing dish set (3 units, buffet)</t>
  </si>
  <si>
    <t xml:space="preserve">Weekend buffet / office delivery</t>
  </si>
  <si>
    <t xml:space="preserve">SUBTOTAL — Food Service Equipment</t>
  </si>
  <si>
    <t xml:space="preserve">C.  TECHNOLOGY &amp; POS</t>
  </si>
  <si>
    <t xml:space="preserve">POS system — Android tablet (10") + stand</t>
  </si>
  <si>
    <t xml:space="preserve">Vyyb OS interface; tillpoint</t>
  </si>
  <si>
    <t xml:space="preserve">Cash drawer (RJ11 connected to POS)</t>
  </si>
  <si>
    <t xml:space="preserve">Security; KES cash reconciliation</t>
  </si>
  <si>
    <t xml:space="preserve">Thermal receipt printer</t>
  </si>
  <si>
    <t xml:space="preserve">Star Micronics or Epson</t>
  </si>
  <si>
    <t xml:space="preserve">Card reader — PesaPal / Pesalink</t>
  </si>
  <si>
    <t xml:space="preserve">Card + M-Pesa Till linked</t>
  </si>
  <si>
    <t xml:space="preserve">KDS monitor (10" tablet, wall-mounted)</t>
  </si>
  <si>
    <t xml:space="preserve">Kitchen display for outlet orders</t>
  </si>
  <si>
    <t xml:space="preserve">Delivery tablet — Glovo + Uber Eats app</t>
  </si>
  <si>
    <t xml:space="preserve">Dedicated order mgmt screen</t>
  </si>
  <si>
    <t xml:space="preserve">WiFi router (commercial, dual-band)</t>
  </si>
  <si>
    <t xml:space="preserve">Stable connection for POS + delivery apps</t>
  </si>
  <si>
    <t xml:space="preserve">UPS backup (for POS + router)</t>
  </si>
  <si>
    <t xml:space="preserve">Prevents data loss during power outage</t>
  </si>
  <si>
    <t xml:space="preserve">Label printer (for delivery orders)</t>
  </si>
  <si>
    <t xml:space="preserve">Print customer name + order on bag</t>
  </si>
  <si>
    <t xml:space="preserve">Printer paper + card rolls (3 months)</t>
  </si>
  <si>
    <t xml:space="preserve">Thermal roll stock</t>
  </si>
  <si>
    <t xml:space="preserve">SUBTOTAL — Technology &amp; POS</t>
  </si>
  <si>
    <t xml:space="preserve">★  OUTLET 1 GRAND TOTAL</t>
  </si>
  <si>
    <t xml:space="preserve">TECHNOLOGY &amp; SYSTEMS — Hive + Outlets + Online Channels</t>
  </si>
  <si>
    <t xml:space="preserve">A.  HIVE KITCHEN TECHNOLOGY</t>
  </si>
  <si>
    <t xml:space="preserve">Commercial Android tablet (12") + case</t>
  </si>
  <si>
    <t xml:space="preserve">Main Vyyb OS dashboard at Hive</t>
  </si>
  <si>
    <t xml:space="preserve">KDS monitor (15", commercial display)</t>
  </si>
  <si>
    <t xml:space="preserve">Production batch display at Hive</t>
  </si>
  <si>
    <t xml:space="preserve">Label printer — Zebra ZD220 / Dymo</t>
  </si>
  <si>
    <t xml:space="preserve">Print batch labels + dispatch labels</t>
  </si>
  <si>
    <t xml:space="preserve">Thermal dispatch printer</t>
  </si>
  <si>
    <t xml:space="preserve">Packing slip per outlet/delivery</t>
  </si>
  <si>
    <t xml:space="preserve">Commercial WiFi router (Mikrotik)</t>
  </si>
  <si>
    <t xml:space="preserve">Stable, dual-WAN capable</t>
  </si>
  <si>
    <t xml:space="preserve">4G LTE backup router / SIM data</t>
  </si>
  <si>
    <t xml:space="preserve">Failover when fibre is down</t>
  </si>
  <si>
    <t xml:space="preserve">UPS (for tech equipment, 1000VA)</t>
  </si>
  <si>
    <t xml:space="preserve">30-min runtime; data protection</t>
  </si>
  <si>
    <t xml:space="preserve">NAS / local server (for Vyyb OS + backup)</t>
  </si>
  <si>
    <t xml:space="preserve">On-site backup; offline operation</t>
  </si>
  <si>
    <t xml:space="preserve">Vyyb OS setup + data migration (dev time)</t>
  </si>
  <si>
    <t xml:space="preserve">Bonnie's time to migrate old SQLite + configure</t>
  </si>
  <si>
    <t xml:space="preserve">SUBTOTAL — Hive Technology</t>
  </si>
  <si>
    <t xml:space="preserve">B.  ONLINE CHANNELS — SETUP COSTS</t>
  </si>
  <si>
    <t xml:space="preserve">WhatsApp Business API — Meta Cloud API</t>
  </si>
  <si>
    <t xml:space="preserve">Free to set up; costs per conversation (ongoing)</t>
  </si>
  <si>
    <t xml:space="preserve">Glovo — merchant onboarding</t>
  </si>
  <si>
    <t xml:space="preserve">Free to join; 25-30% commission per order ongoing</t>
  </si>
  <si>
    <t xml:space="preserve">Uber Eats — restaurant partner onboarding</t>
  </si>
  <si>
    <t xml:space="preserve">Free to join; 20-30% commission per order ongoing</t>
  </si>
  <si>
    <t xml:space="preserve">Photography for Glovo/Uber menus</t>
  </si>
  <si>
    <t xml:space="preserve">Professional food photography; 1-day shoot</t>
  </si>
  <si>
    <t xml:space="preserve">Menu design + digital asset creation</t>
  </si>
  <si>
    <t xml:space="preserve">Canva/designer; menu cards for all channels</t>
  </si>
  <si>
    <t xml:space="preserve">Delivery packaging — branded (1000 units)</t>
  </si>
  <si>
    <t xml:space="preserve">Custom printed boxes + bags with Vyyb branding</t>
  </si>
  <si>
    <t xml:space="preserve">Insulated delivery bags × 6</t>
  </si>
  <si>
    <t xml:space="preserve">Rider bags; maintain food temp</t>
  </si>
  <si>
    <t xml:space="preserve">Custom food sealing labels (1000 pcs)</t>
  </si>
  <si>
    <t xml:space="preserve">QR code + allergen info + Vyyb brand</t>
  </si>
  <si>
    <t xml:space="preserve">App listing on Google Play / Apple (if PWA)</t>
  </si>
  <si>
    <t xml:space="preserve">PWA via Vyyb OS — no app store fee</t>
  </si>
  <si>
    <t xml:space="preserve">Domain + hosting: vyyb.co.ke</t>
  </si>
  <si>
    <t xml:space="preserve">Annual domain + Cloudflare + hosting</t>
  </si>
  <si>
    <t xml:space="preserve">SUBTOTAL — Online Channel Setup</t>
  </si>
  <si>
    <t xml:space="preserve">C.  B2B CHANNEL SETUP</t>
  </si>
  <si>
    <t xml:space="preserve">B2B packaging — bulk containers (set)</t>
  </si>
  <si>
    <t xml:space="preserve">Foil trays, bulk bags, labels for office/hotel</t>
  </si>
  <si>
    <t xml:space="preserve">Thermal transport boxes × 4 (catering)</t>
  </si>
  <si>
    <t xml:space="preserve">Delivery to B2B clients; maintains 63°C+</t>
  </si>
  <si>
    <t xml:space="preserve">B2B menu / rate card (design + print)</t>
  </si>
  <si>
    <t xml:space="preserve">PDF digital + 100 printed copies</t>
  </si>
  <si>
    <t xml:space="preserve">Business cards (500 pcs)</t>
  </si>
  <si>
    <t xml:space="preserve">For client acquisition — events, chamas</t>
  </si>
  <si>
    <t xml:space="preserve">B2B tasting event — sample food cost</t>
  </si>
  <si>
    <t xml:space="preserve">Host 10 potential corporate clients for tasting</t>
  </si>
  <si>
    <t xml:space="preserve">SUBTOTAL — B2B Setup</t>
  </si>
  <si>
    <t xml:space="preserve">★  TECHNOLOGY &amp; CHANNELS GRAND TOTAL</t>
  </si>
  <si>
    <t xml:space="preserve">LICENSING, PERMITS &amp; COMPLIANCE</t>
  </si>
  <si>
    <t xml:space="preserve">NAIROBI COUNTY + NATIONAL GOVERNMENT REQUIREMENTS</t>
  </si>
  <si>
    <t xml:space="preserve">NCC Single Business Permit — Hive</t>
  </si>
  <si>
    <t xml:space="preserve">Annual. Based on business category + revenue tier</t>
  </si>
  <si>
    <t xml:space="preserve">NCC Single Business Permit — Outlet 1</t>
  </si>
  <si>
    <t xml:space="preserve">Annual. Per outlet location</t>
  </si>
  <si>
    <t xml:space="preserve">Food Safety + Hygiene Cert — Hive (MOH)</t>
  </si>
  <si>
    <t xml:space="preserve">County Public Health Officer inspection + cert</t>
  </si>
  <si>
    <t xml:space="preserve">Food Safety + Hygiene Cert — Outlet 1</t>
  </si>
  <si>
    <t xml:space="preserve">Per outlet; same Ministry of Health process</t>
  </si>
  <si>
    <t xml:space="preserve">Food handler certificates (per staff)</t>
  </si>
  <si>
    <t xml:space="preserve">Required for each person handling food</t>
  </si>
  <si>
    <t xml:space="preserve">Fire safety certificate — Hive</t>
  </si>
  <si>
    <t xml:space="preserve">County Fire &amp; Rescue; after suppression install</t>
  </si>
  <si>
    <t xml:space="preserve">Fire safety certificate — Outlet 1</t>
  </si>
  <si>
    <t xml:space="preserve">Simpler inspection for retail front</t>
  </si>
  <si>
    <t xml:space="preserve">NEMA compliance (if commissary has waste)</t>
  </si>
  <si>
    <t xml:space="preserve">Grease trap compliance + waste disposal plan</t>
  </si>
  <si>
    <t xml:space="preserve">KEBS certification (if packaged products)</t>
  </si>
  <si>
    <t xml:space="preserve">Required for sealed packaged food for retail</t>
  </si>
  <si>
    <t xml:space="preserve">KRA PIN certificate (Vyyb business)</t>
  </si>
  <si>
    <t xml:space="preserve">Free via iTax; required for invoicing + bank</t>
  </si>
  <si>
    <t xml:space="preserve">KRA VAT registration (once revenue &gt; 5M)</t>
  </si>
  <si>
    <t xml:space="preserve">Free; required when threshold hit</t>
  </si>
  <si>
    <t xml:space="preserve">Music license — MCSK (outlet)</t>
  </si>
  <si>
    <t xml:space="preserve">If playing music; annual MCSK fee</t>
  </si>
  <si>
    <t xml:space="preserve">Signage permit — NCC (outdoor sign)</t>
  </si>
  <si>
    <t xml:space="preserve">Required for any outdoor fascia</t>
  </si>
  <si>
    <t xml:space="preserve">KFSHS registration (food business)</t>
  </si>
  <si>
    <t xml:space="preserve">Kenya Food Safety and Health Services</t>
  </si>
  <si>
    <t xml:space="preserve">SUBTOTAL — All Licensing &amp; Compliance</t>
  </si>
  <si>
    <t xml:space="preserve">⚠  NOTE: All permits are annual. Budget renewal of ~KES 60,000–85,000/year for both locations combined.</t>
  </si>
  <si>
    <t xml:space="preserve">STAFFING PLAN — First 3 Months</t>
  </si>
  <si>
    <t xml:space="preserve">ROLE</t>
  </si>
  <si>
    <t xml:space="preserve">GROSS SALARY
(KES/mo)</t>
  </si>
  <si>
    <t xml:space="preserve"># STAFF</t>
  </si>
  <si>
    <t xml:space="preserve">MONTH 1</t>
  </si>
  <si>
    <t xml:space="preserve">MONTH 2</t>
  </si>
  <si>
    <t xml:space="preserve">MONTH 3</t>
  </si>
  <si>
    <t xml:space="preserve">THE HIVE — Production Kitchen</t>
  </si>
  <si>
    <t xml:space="preserve">Head Chef / Production Manager</t>
  </si>
  <si>
    <t xml:space="preserve">HACCP-trained; manages all batches + procurement</t>
  </si>
  <si>
    <t xml:space="preserve">Cook / Line Chef × 2</t>
  </si>
  <si>
    <t xml:space="preserve">Execute production schedule; one per shift</t>
  </si>
  <si>
    <t xml:space="preserve">Kitchen Assistant / Prep Cook</t>
  </si>
  <si>
    <t xml:space="preserve">Prep, cleaning, stocking</t>
  </si>
  <si>
    <t xml:space="preserve">Cleaner (part-time, 6 hrs/day)</t>
  </si>
  <si>
    <t xml:space="preserve">HACCP-grade cleaning schedule</t>
  </si>
  <si>
    <t xml:space="preserve">Logistics / Dispatch Coordinator</t>
  </si>
  <si>
    <t xml:space="preserve">Coordinates outlet transfers + delivery dispatch</t>
  </si>
  <si>
    <t xml:space="preserve">Hive Team Subtotal</t>
  </si>
  <si>
    <t xml:space="preserve">OUTLET 1 — Sales Front</t>
  </si>
  <si>
    <t xml:space="preserve">Outlet Manager / Team Lead</t>
  </si>
  <si>
    <t xml:space="preserve">Opens + closes; handles float + end-of-day</t>
  </si>
  <si>
    <t xml:space="preserve">Cashier / Server × 2</t>
  </si>
  <si>
    <t xml:space="preserve">Order taking + POS + serving</t>
  </si>
  <si>
    <t xml:space="preserve">Delivery Coordinator (Glovo/Uber)</t>
  </si>
  <si>
    <t xml:space="preserve">Manages delivery tablet + packing</t>
  </si>
  <si>
    <t xml:space="preserve">Outlet Team Subtotal</t>
  </si>
  <si>
    <t xml:space="preserve">TOTAL MONTHLY PAYROLL</t>
  </si>
  <si>
    <t xml:space="preserve">⚠  Employer NSSF + NHIF + PAYE obligations apply. Budget an additional 20% on gross for statutory contributions.</t>
  </si>
  <si>
    <t xml:space="preserve">WORKING CAPITAL — Month 1 Stock, Packaging, Utilities, Marketing</t>
  </si>
  <si>
    <t xml:space="preserve">A.  OPENING INVENTORY — RAW MATERIALS</t>
  </si>
  <si>
    <t xml:space="preserve">Proteins — beef / goat meat</t>
  </si>
  <si>
    <t xml:space="preserve">40kg opening stock; ~KES 350-380/kg</t>
  </si>
  <si>
    <t xml:space="preserve">Proteins — chicken (whole/pieces)</t>
  </si>
  <si>
    <t xml:space="preserve">30kg; fresh + frozen mix</t>
  </si>
  <si>
    <t xml:space="preserve">Proteins — fish (tilapia/omena)</t>
  </si>
  <si>
    <t xml:space="preserve">20kg; fresh tilapia + dried omena</t>
  </si>
  <si>
    <t xml:space="preserve">Ugali / maize flour (25kg bags)</t>
  </si>
  <si>
    <t xml:space="preserve">150kg = 6 bags</t>
  </si>
  <si>
    <t xml:space="preserve">Rice (25kg bags)</t>
  </si>
  <si>
    <t xml:space="preserve">100kg = 4 bags; Pishori or Mwea</t>
  </si>
  <si>
    <t xml:space="preserve">Chapati flour (wheat, 25kg bags)</t>
  </si>
  <si>
    <t xml:space="preserve">Varies by recipe volume</t>
  </si>
  <si>
    <t xml:space="preserve">Cooking oil (20L jerrican)</t>
  </si>
  <si>
    <t xml:space="preserve">Deep fry + cooking</t>
  </si>
  <si>
    <t xml:space="preserve">Vegetables (onions, tomatoes, cabbage)</t>
  </si>
  <si>
    <t xml:space="preserve">60kg daily fresh; source Marikiti/Mkulima</t>
  </si>
  <si>
    <t xml:space="preserve">Greens (sukuma wiki, spinach)</t>
  </si>
  <si>
    <t xml:space="preserve">Daily fresh; perishable</t>
  </si>
  <si>
    <t xml:space="preserve">Spices + dry goods (mixed set)</t>
  </si>
  <si>
    <t xml:space="preserve">Cumin, coriander, garlic powder etc.</t>
  </si>
  <si>
    <t xml:space="preserve">Salt, sugar, baking powder (bulk)</t>
  </si>
  <si>
    <t xml:space="preserve">Dry pantry staples</t>
  </si>
  <si>
    <t xml:space="preserve">Dairy — milk (litres)</t>
  </si>
  <si>
    <t xml:space="preserve">40L; tea, sauces, desserts</t>
  </si>
  <si>
    <t xml:space="preserve">Eggs (trays of 30)</t>
  </si>
  <si>
    <t xml:space="preserve">8 trays opening stock</t>
  </si>
  <si>
    <t xml:space="preserve">Beverages — sodas (crates × 10)</t>
  </si>
  <si>
    <t xml:space="preserve">Coke, Fanta, Sprite; customer purchase</t>
  </si>
  <si>
    <t xml:space="preserve">Beverages — water (5L × 24 pack)</t>
  </si>
  <si>
    <t xml:space="preserve">Drinking water stock</t>
  </si>
  <si>
    <t xml:space="preserve">Charcoal (50kg bags)</t>
  </si>
  <si>
    <t xml:space="preserve">If charcoal grill used</t>
  </si>
  <si>
    <t xml:space="preserve">LPG gas (13kg cylinders × 4)</t>
  </si>
  <si>
    <t xml:space="preserve">4 cylinders; Hive uses 2 daily at full speed</t>
  </si>
  <si>
    <t xml:space="preserve">SUBTOTAL — Opening Inventory</t>
  </si>
  <si>
    <t xml:space="preserve">B.  PACKAGING MATERIALS</t>
  </si>
  <si>
    <t xml:space="preserve">Biodegradable takeaway boxes (500ml)</t>
  </si>
  <si>
    <t xml:space="preserve">Single portion, secure lid</t>
  </si>
  <si>
    <t xml:space="preserve">Biodegradable takeaway boxes (1L)</t>
  </si>
  <si>
    <t xml:space="preserve">Double portion / family pack</t>
  </si>
  <si>
    <t xml:space="preserve">Paper bags (branded, medium)</t>
  </si>
  <si>
    <t xml:space="preserve">Carry bags for walk-in</t>
  </si>
  <si>
    <t xml:space="preserve">Kraft paper bags (large, for B2B)</t>
  </si>
  <si>
    <t xml:space="preserve">B2B bulk packing</t>
  </si>
  <si>
    <t xml:space="preserve">Foil containers (various sizes, 100 pcs)</t>
  </si>
  <si>
    <t xml:space="preserve">B2B catering + delivery</t>
  </si>
  <si>
    <t xml:space="preserve">Clear cling film (catering roll)</t>
  </si>
  <si>
    <t xml:space="preserve">Wrapping + prep protection</t>
  </si>
  <si>
    <t xml:space="preserve">Sealing labels — Vyyb brand (1000 pcs)</t>
  </si>
  <si>
    <t xml:space="preserve">QR + allergen + brand</t>
  </si>
  <si>
    <t xml:space="preserve">Napkins (pack of 500)</t>
  </si>
  <si>
    <t xml:space="preserve">Outlet customer service</t>
  </si>
  <si>
    <t xml:space="preserve">Cutlery sets (fork + spoon, 500 pcs)</t>
  </si>
  <si>
    <t xml:space="preserve">Delivery + B2B</t>
  </si>
  <si>
    <t xml:space="preserve">Sauce cups + lids (1 oz, 500 pcs)</t>
  </si>
  <si>
    <t xml:space="preserve">Condiments with orders</t>
  </si>
  <si>
    <t xml:space="preserve">Insulated delivery bags (reusable)</t>
  </si>
  <si>
    <t xml:space="preserve">Rider equipment</t>
  </si>
  <si>
    <t xml:space="preserve">SUBTOTAL — Packaging</t>
  </si>
  <si>
    <t xml:space="preserve">C.  UTILITIES — MONTH 1 COSTS + DEPOSITS</t>
  </si>
  <si>
    <t xml:space="preserve">Electricity — Hive (KPLC prepaid token)</t>
  </si>
  <si>
    <t xml:space="preserve">Heavy equipment; budget 15-25k/mo</t>
  </si>
  <si>
    <t xml:space="preserve">Electricity — Outlet 1</t>
  </si>
  <si>
    <t xml:space="preserve">Lighting, A/C, POS; budget 5-8k/mo</t>
  </si>
  <si>
    <t xml:space="preserve">Water (NWSC + tanker backup)</t>
  </si>
  <si>
    <t xml:space="preserve">Cleaning + cooking; high usage</t>
  </si>
  <si>
    <t xml:space="preserve">LPG gas — ongoing (beyond opening stock)</t>
  </si>
  <si>
    <t xml:space="preserve">Refills during the month</t>
  </si>
  <si>
    <t xml:space="preserve">Internet / fibre — Hive</t>
  </si>
  <si>
    <t xml:space="preserve">Safaricom Home Fibre or Zuku; includes router</t>
  </si>
  <si>
    <t xml:space="preserve">Internet — Outlet (4G backup SIM)</t>
  </si>
  <si>
    <t xml:space="preserve">Data SIM for POS + Glovo/Uber tablet</t>
  </si>
  <si>
    <t xml:space="preserve">KPLC meter deposit (if new connection)</t>
  </si>
  <si>
    <t xml:space="preserve">One-time; recoverable on exit</t>
  </si>
  <si>
    <t xml:space="preserve">Water connection deposit</t>
  </si>
  <si>
    <t xml:space="preserve">One-time; recoverable</t>
  </si>
  <si>
    <t xml:space="preserve">Waste disposal (council)</t>
  </si>
  <si>
    <t xml:space="preserve">Monthly waste collection fee</t>
  </si>
  <si>
    <t xml:space="preserve">Cleaning supplies (3-month stock)</t>
  </si>
  <si>
    <t xml:space="preserve">Dettol, bleach, gloves, mops, sanitiser</t>
  </si>
  <si>
    <t xml:space="preserve">SUBTOTAL — Utilities</t>
  </si>
  <si>
    <t xml:space="preserve">D.  MARKETING LAUNCH</t>
  </si>
  <si>
    <t xml:space="preserve">Professional food photography (1-day)</t>
  </si>
  <si>
    <t xml:space="preserve">Menu hero shots for all channels</t>
  </si>
  <si>
    <t xml:space="preserve">Launch event — food + décor + invite</t>
  </si>
  <si>
    <t xml:space="preserve">Invite 50 community members + B2B targets</t>
  </si>
  <si>
    <t xml:space="preserve">Social media content creation (3 months)</t>
  </si>
  <si>
    <t xml:space="preserve">Reels, stories, posts — 3-month content bank</t>
  </si>
  <si>
    <t xml:space="preserve">Food blogger / influencer collaboration</t>
  </si>
  <si>
    <t xml:space="preserve">3 micro-influencers at KES 10k each</t>
  </si>
  <si>
    <t xml:space="preserve">Flyers + A5 print (5000 pcs)</t>
  </si>
  <si>
    <t xml:space="preserve">Hyperlocal physical distribution</t>
  </si>
  <si>
    <t xml:space="preserve">WhatsApp broadcast setup + contacts</t>
  </si>
  <si>
    <t xml:space="preserve">Seed list 200+ contacts; bulk send</t>
  </si>
  <si>
    <t xml:space="preserve">Glovo / Uber promo credits (launch boost)</t>
  </si>
  <si>
    <t xml:space="preserve">Buy promotional visibility on apps at launch</t>
  </si>
  <si>
    <t xml:space="preserve">Google My Business + maps listing</t>
  </si>
  <si>
    <t xml:space="preserve">Free — but cost to set up photos + listing</t>
  </si>
  <si>
    <t xml:space="preserve">Branded staff uniforms (T-shirt + apron)</t>
  </si>
  <si>
    <t xml:space="preserve">Brand visibility in kitchen + outlet</t>
  </si>
  <si>
    <t xml:space="preserve">Launch PR / press release distribution</t>
  </si>
  <si>
    <t xml:space="preserve">Distribute to food media + blogs</t>
  </si>
  <si>
    <t xml:space="preserve">SUBTOTAL — Marketing Launch</t>
  </si>
  <si>
    <t xml:space="preserve">★  WORKING CAPITAL GRAND TOTAL</t>
  </si>
  <si>
    <t xml:space="preserve">3-MONTH P&amp;L FORECAST — VYYB (HIVE + OUTLET 1)</t>
  </si>
  <si>
    <t xml:space="preserve">Assumptions: STANDARD scenario · ~100 covers/day Walk-in · Glovo/Uber 30 orders/day · B2B 2×/week</t>
  </si>
  <si>
    <t xml:space="preserve">LINE ITEM</t>
  </si>
  <si>
    <t xml:space="preserve">MONTH 1 (KES)</t>
  </si>
  <si>
    <t xml:space="preserve">MONTH 2 (KES)</t>
  </si>
  <si>
    <t xml:space="preserve">MONTH 3 (KES)</t>
  </si>
  <si>
    <t xml:space="preserve">REVENUE</t>
  </si>
  <si>
    <t xml:space="preserve">  Walk-in / Outlet Sales</t>
  </si>
  <si>
    <t xml:space="preserve">~100 covers × avg KES 250 → grows as brand builds</t>
  </si>
  <si>
    <t xml:space="preserve">  Glovo / Uber Eats orders</t>
  </si>
  <si>
    <t xml:space="preserve">30/day → 60/day → 100/day at avg KES 500/order</t>
  </si>
  <si>
    <t xml:space="preserve">  WhatsApp / App direct orders</t>
  </si>
  <si>
    <t xml:space="preserve">Office orders, regulars, pre-orders via WhatsApp</t>
  </si>
  <si>
    <t xml:space="preserve">  B2B supply (corporate / events)</t>
  </si>
  <si>
    <t xml:space="preserve">2× weekly deliveries × avg KES 15,000 order</t>
  </si>
  <si>
    <t xml:space="preserve">TOTAL REVENUE</t>
  </si>
  <si>
    <t xml:space="preserve">COST OF GOODS SOLD (COGS)</t>
  </si>
  <si>
    <t xml:space="preserve">  Raw materials (food cost ~38%)</t>
  </si>
  <si>
    <t xml:space="preserve">Target food cost: 38% of revenue; lower with volume</t>
  </si>
  <si>
    <t xml:space="preserve">  Packaging</t>
  </si>
  <si>
    <t xml:space="preserve">Scales with order volume</t>
  </si>
  <si>
    <t xml:space="preserve">  Gas + charcoal</t>
  </si>
  <si>
    <t xml:space="preserve">LPG refills + charcoal</t>
  </si>
  <si>
    <t xml:space="preserve">  Delivery commission (Glovo/Uber)</t>
  </si>
  <si>
    <t xml:space="preserve">~25% of platform sales</t>
  </si>
  <si>
    <t xml:space="preserve">TOTAL COGS</t>
  </si>
  <si>
    <t xml:space="preserve">GROSS PROFIT</t>
  </si>
  <si>
    <t xml:space="preserve">OPERATING EXPENSES</t>
  </si>
  <si>
    <t xml:space="preserve">  Total payroll (Hive + Outlet)</t>
  </si>
  <si>
    <t xml:space="preserve">See Staffing sheet; includes NSSF/NHIF est</t>
  </si>
  <si>
    <t xml:space="preserve">  Rent — Hive</t>
  </si>
  <si>
    <t xml:space="preserve">Monthly after deposit used</t>
  </si>
  <si>
    <t xml:space="preserve">  Rent — Outlet 1</t>
  </si>
  <si>
    <t xml:space="preserve">Monthly after deposit</t>
  </si>
  <si>
    <t xml:space="preserve">  Electricity (both sites)</t>
  </si>
  <si>
    <t xml:space="preserve">Hive heavy; outlet lighter</t>
  </si>
  <si>
    <t xml:space="preserve">  Water + waste disposal</t>
  </si>
  <si>
    <t xml:space="preserve">Hive + outlet + waste collection</t>
  </si>
  <si>
    <t xml:space="preserve">  Internet + comms</t>
  </si>
  <si>
    <t xml:space="preserve">Fibre + 4G data</t>
  </si>
  <si>
    <t xml:space="preserve">  Equipment maintenance / repairs</t>
  </si>
  <si>
    <t xml:space="preserve">Pro-rated maintenance; buffer</t>
  </si>
  <si>
    <t xml:space="preserve">  Glovo/Uber platform fees (non-COGS)</t>
  </si>
  <si>
    <t xml:space="preserve">Tablet management, admin fees</t>
  </si>
  <si>
    <t xml:space="preserve">  Marketing (ongoing)</t>
  </si>
  <si>
    <t xml:space="preserve">Social content + promotions</t>
  </si>
  <si>
    <t xml:space="preserve">  Miscellaneous + contingency</t>
  </si>
  <si>
    <t xml:space="preserve">Unplanned small costs</t>
  </si>
  <si>
    <t xml:space="preserve">TOTAL OPERATING EXPENSES</t>
  </si>
  <si>
    <t xml:space="preserve">EBITDA (Operating Profit / Loss)</t>
  </si>
  <si>
    <t xml:space="preserve">Month 1 typically negative — fixed cost absorption period</t>
  </si>
  <si>
    <t xml:space="preserve">⚠  Forecast assumes STANDARD scenario. Adjust C/D/E inputs in blue to model your actual scenario.</t>
  </si>
  <si>
    <t xml:space="preserve">RECIPE-SCOPED INGREDIENT BUDGET — Active + Aspirational Only</t>
  </si>
  <si>
    <t xml:space="preserve">Opening stock sized for 30-day volume at estimated daily covers. Inactive recipes excluded. Adjust Daily Vol column to match actual production schedule.</t>
  </si>
  <si>
    <t xml:space="preserve">INGREDIENT</t>
  </si>
  <si>
    <t xml:space="preserve">RECIPES USED IN</t>
  </si>
  <si>
    <t xml:space="preserve">UNIT</t>
  </si>
  <si>
    <t xml:space="preserve">DAILY USAGE
(units)</t>
  </si>
  <si>
    <t xml:space="preserve">DAYS STOCK
(opening)</t>
  </si>
  <si>
    <t xml:space="preserve">UNIT COST
(KES)</t>
  </si>
  <si>
    <t xml:space="preserve">OPENING
STOCK COST</t>
  </si>
  <si>
    <t xml:space="preserve">PROTEINS (Active + Aspirational recipes only)</t>
  </si>
  <si>
    <t xml:space="preserve">Beef (bone-in stew cuts)</t>
  </si>
  <si>
    <t xml:space="preserve">Ugali+Beef, Pilau Beef, Chapati+Beef, Beef Stew bulk</t>
  </si>
  <si>
    <t xml:space="preserve">kg</t>
  </si>
  <si>
    <t xml:space="preserve">Goat (choma cuts)</t>
  </si>
  <si>
    <t xml:space="preserve">Nyama Choma (goat)</t>
  </si>
  <si>
    <t xml:space="preserve">Chicken (whole/pieces)</t>
  </si>
  <si>
    <t xml:space="preserve">Pilau Chicken, Ugali+Chicken, Chapati+Chicken, Kuku</t>
  </si>
  <si>
    <t xml:space="preserve">Matumbo (tripe)</t>
  </si>
  <si>
    <t xml:space="preserve">Ugali+Matumbo, Chapati+Matumbo, Matumbo Stew</t>
  </si>
  <si>
    <t xml:space="preserve">Tilapia (fresh whole)</t>
  </si>
  <si>
    <t xml:space="preserve">Ugali+Fish</t>
  </si>
  <si>
    <t xml:space="preserve">Omena (dried)</t>
  </si>
  <si>
    <t xml:space="preserve">Ugali+Omena</t>
  </si>
  <si>
    <t xml:space="preserve">Beef mince (for samosas)</t>
  </si>
  <si>
    <t xml:space="preserve">Samosas Beef</t>
  </si>
  <si>
    <t xml:space="preserve">Smokies (pack 50 pcs)</t>
  </si>
  <si>
    <t xml:space="preserve">pck</t>
  </si>
  <si>
    <t xml:space="preserve">SUBTOTAL — Proteins</t>
  </si>
  <si>
    <t xml:space="preserve">STARCHES &amp; GRAINS</t>
  </si>
  <si>
    <t xml:space="preserve">Maize flour (unga, 2kg pack)</t>
  </si>
  <si>
    <t xml:space="preserve">Ugali all variants, Githeri, Uji</t>
  </si>
  <si>
    <t xml:space="preserve">Long grain rice (1kg)</t>
  </si>
  <si>
    <t xml:space="preserve">Plain Rice+Stew</t>
  </si>
  <si>
    <t xml:space="preserve">Basmati rice (1kg)</t>
  </si>
  <si>
    <t xml:space="preserve">Pilau Beef, Pilau Chicken, Biryani, Wali wa Nazi</t>
  </si>
  <si>
    <t xml:space="preserve">Wheat flour (2kg)</t>
  </si>
  <si>
    <t xml:space="preserve">Chapati all, Chapati Roll, Mandazi, Samosas</t>
  </si>
  <si>
    <t xml:space="preserve">Dried maize (githeri)</t>
  </si>
  <si>
    <t xml:space="preserve">Githeri, Mukimo</t>
  </si>
  <si>
    <t xml:space="preserve">Dried beans (githeri)</t>
  </si>
  <si>
    <t xml:space="preserve">Githeri</t>
  </si>
  <si>
    <t xml:space="preserve">Red lentils</t>
  </si>
  <si>
    <t xml:space="preserve">Lentil Dhal (aspirational)</t>
  </si>
  <si>
    <t xml:space="preserve">Sorghum / millet flour</t>
  </si>
  <si>
    <t xml:space="preserve">Uji (aspirational)</t>
  </si>
  <si>
    <t xml:space="preserve">SUBTOTAL — Starches &amp; Grains</t>
  </si>
  <si>
    <t xml:space="preserve">FRESH PRODUCE &amp; VEGETABLES</t>
  </si>
  <si>
    <t xml:space="preserve">Tomatoes</t>
  </si>
  <si>
    <t xml:space="preserve">All stews, kachumbari, samosa filling</t>
  </si>
  <si>
    <t xml:space="preserve">Onions</t>
  </si>
  <si>
    <t xml:space="preserve">All stews, pilau, biryani</t>
  </si>
  <si>
    <t xml:space="preserve">Garlic + ginger (bulk)</t>
  </si>
  <si>
    <t xml:space="preserve">Pilau, biryani, stews, samosas</t>
  </si>
  <si>
    <t xml:space="preserve">Sukuma wiki (kale)</t>
  </si>
  <si>
    <t xml:space="preserve">Ugali+Omena, Githeri, stews</t>
  </si>
  <si>
    <t xml:space="preserve">bunch</t>
  </si>
  <si>
    <t xml:space="preserve">Spinach</t>
  </si>
  <si>
    <t xml:space="preserve">Mukimo, lentil dhal</t>
  </si>
  <si>
    <t xml:space="preserve">Cabbage (head)</t>
  </si>
  <si>
    <t xml:space="preserve">Kachumbari, chapati roll</t>
  </si>
  <si>
    <t xml:space="preserve">head</t>
  </si>
  <si>
    <t xml:space="preserve">Green peppers</t>
  </si>
  <si>
    <t xml:space="preserve">Biryani, samosas</t>
  </si>
  <si>
    <t xml:space="preserve">Fresh coriander (dhania)</t>
  </si>
  <si>
    <t xml:space="preserve">Pilau, biryani, stews</t>
  </si>
  <si>
    <t xml:space="preserve">Potatoes</t>
  </si>
  <si>
    <t xml:space="preserve">Mukimo, biryani</t>
  </si>
  <si>
    <t xml:space="preserve">Lemons (for choma + drinks)</t>
  </si>
  <si>
    <t xml:space="preserve">Nyama choma, juice</t>
  </si>
  <si>
    <t xml:space="preserve">pcs</t>
  </si>
  <si>
    <t xml:space="preserve">SUBTOTAL — Produce</t>
  </si>
  <si>
    <t xml:space="preserve">OILS, SPICES &amp; DRY GOODS</t>
  </si>
  <si>
    <t xml:space="preserve">All frying + sautéing</t>
  </si>
  <si>
    <t xml:space="preserve">L</t>
  </si>
  <si>
    <t xml:space="preserve">Pilau masala (blend)</t>
  </si>
  <si>
    <t xml:space="preserve">Pilau Beef, Pilau Chicken</t>
  </si>
  <si>
    <t xml:space="preserve">Biryani spice (blend)</t>
  </si>
  <si>
    <t xml:space="preserve">Biryani (aspirational)</t>
  </si>
  <si>
    <t xml:space="preserve">Cumin, coriander, turmeric</t>
  </si>
  <si>
    <t xml:space="preserve">Stews, curries, pilau</t>
  </si>
  <si>
    <t xml:space="preserve">Salt (1kg packs)</t>
  </si>
  <si>
    <t xml:space="preserve">Everything</t>
  </si>
  <si>
    <t xml:space="preserve">Sugar (1kg packs)</t>
  </si>
  <si>
    <t xml:space="preserve">Chai, uji, mandazi</t>
  </si>
  <si>
    <t xml:space="preserve">Tomato paste (500g tins)</t>
  </si>
  <si>
    <t xml:space="preserve">Stews, pilau</t>
  </si>
  <si>
    <t xml:space="preserve">tin</t>
  </si>
  <si>
    <t xml:space="preserve">Coconut milk (400ml tins)</t>
  </si>
  <si>
    <t xml:space="preserve">Wali wa Nazi, chicken stew</t>
  </si>
  <si>
    <t xml:space="preserve">Soy sauce</t>
  </si>
  <si>
    <t xml:space="preserve">Fried rice (inactive — exclude if needed)</t>
  </si>
  <si>
    <t xml:space="preserve">btl</t>
  </si>
  <si>
    <t xml:space="preserve">SUBTOTAL — Oils, Spices &amp; Dry</t>
  </si>
  <si>
    <t xml:space="preserve">DAIRY &amp; BEVERAGES</t>
  </si>
  <si>
    <t xml:space="preserve">Fresh whole milk</t>
  </si>
  <si>
    <t xml:space="preserve">Chai, uji, coffee</t>
  </si>
  <si>
    <t xml:space="preserve">Eggs</t>
  </si>
  <si>
    <t xml:space="preserve">Chapati roll (egg), fried rice (inactive)</t>
  </si>
  <si>
    <t xml:space="preserve">tray</t>
  </si>
  <si>
    <t xml:space="preserve">Tea leaves (Kenya blend)</t>
  </si>
  <si>
    <t xml:space="preserve">Chai</t>
  </si>
  <si>
    <t xml:space="preserve">Nescafé (instant coffee 200g)</t>
  </si>
  <si>
    <t xml:space="preserve">Black coffee</t>
  </si>
  <si>
    <t xml:space="preserve">Sodas (Coke/Fanta/Sprite crate)</t>
  </si>
  <si>
    <t xml:space="preserve">Resale at outlet</t>
  </si>
  <si>
    <t xml:space="preserve">crate</t>
  </si>
  <si>
    <t xml:space="preserve">Passion fruit (for juice)</t>
  </si>
  <si>
    <t xml:space="preserve">Fresh juice (aspirational)</t>
  </si>
  <si>
    <t xml:space="preserve">Energy drinks (Predator crate)</t>
  </si>
  <si>
    <t xml:space="preserve">Resale</t>
  </si>
  <si>
    <t xml:space="preserve">SUBTOTAL — Dairy &amp; Beverages</t>
  </si>
  <si>
    <t xml:space="preserve">★  TOTAL OPENING INGREDIENT STOCK (Active + Aspirational)</t>
  </si>
  <si>
    <t xml:space="preserve">⚠  Adjust 'Daily Usage' and 'Days Stock' to match your actual production schedule. Soy sauce row flagged red — used only for fried rice (INACTIVE); remove from order if staying inactive.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</si>
</sst>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&quot;KES &quot;#,##0"/>
    <numFmt numFmtId="167" formatCode="#,##0;\(#,##0\);\-"/>
    <numFmt numFmtId="168" formatCode="0%"/>
    <numFmt numFmtId="169" formatCode="&quot;KES &quot;#,##0;&quot;(KES &quot;#,##0\)"/>
    <numFmt numFmtId="170" formatCode="#,##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E8A020"/>
      <name val="Arial"/>
      <family val="0"/>
      <charset val="1"/>
    </font>
    <font>
      <sz val="11"/>
      <color rgb="FFE8E4DC"/>
      <name val="Arial"/>
      <family val="0"/>
      <charset val="1"/>
    </font>
    <font>
      <sz val="9"/>
      <color rgb="FF888480"/>
      <name val="Arial"/>
      <family val="0"/>
      <charset val="1"/>
    </font>
    <font>
      <b val="true"/>
      <sz val="12"/>
      <color rgb="FFE8A020"/>
      <name val="Arial"/>
      <family val="0"/>
      <charset val="1"/>
    </font>
    <font>
      <b val="true"/>
      <sz val="9"/>
      <color rgb="FFE8E4D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E05050"/>
      <name val="Arial"/>
      <family val="0"/>
      <charset val="1"/>
    </font>
    <font>
      <b val="true"/>
      <sz val="12"/>
      <color rgb="FFE8E4DC"/>
      <name val="Arial"/>
      <family val="0"/>
      <charset val="1"/>
    </font>
    <font>
      <b val="true"/>
      <sz val="13"/>
      <color rgb="FFE8E4DC"/>
      <name val="Arial"/>
      <family val="0"/>
      <charset val="1"/>
    </font>
    <font>
      <b val="true"/>
      <sz val="10"/>
      <color rgb="FFE8A020"/>
      <name val="Arial"/>
      <family val="0"/>
      <charset val="1"/>
    </font>
    <font>
      <b val="true"/>
      <sz val="11"/>
      <color rgb="FFE8A02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6"/>
      <color rgb="FFE8A020"/>
      <name val="Arial"/>
      <family val="0"/>
      <charset val="1"/>
    </font>
    <font>
      <sz val="10"/>
      <color rgb="FFE8E4D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4CAF8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C07010"/>
      <name val="Arial"/>
      <family val="0"/>
      <charset val="1"/>
    </font>
    <font>
      <b val="true"/>
      <sz val="9"/>
      <color rgb="FFE05050"/>
      <name val="Arial"/>
      <family val="0"/>
      <charset val="1"/>
    </font>
    <font>
      <b val="true"/>
      <sz val="11"/>
      <color rgb="FFE8E4DC"/>
      <name val="Arial"/>
      <family val="0"/>
      <charset val="1"/>
    </font>
    <font>
      <b val="true"/>
      <sz val="10"/>
      <color rgb="FF4CAF80"/>
      <name val="Arial"/>
      <family val="0"/>
      <charset val="1"/>
    </font>
    <font>
      <b val="true"/>
      <sz val="14"/>
      <color rgb="FF4CAF80"/>
      <name val="Arial"/>
      <family val="0"/>
      <charset val="1"/>
    </font>
    <font>
      <b val="true"/>
      <sz val="10"/>
      <color rgb="FFC07010"/>
      <name val="Arial"/>
      <family val="0"/>
      <charset val="1"/>
    </font>
    <font>
      <b val="true"/>
      <sz val="14"/>
      <color rgb="FFC07010"/>
      <name val="Arial"/>
      <family val="0"/>
      <charset val="1"/>
    </font>
    <font>
      <b val="true"/>
      <sz val="14"/>
      <color rgb="FFE0505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4"/>
      <color rgb="FF333333"/>
      <name val="Arial"/>
      <family val="0"/>
      <charset val="1"/>
    </font>
    <font>
      <b val="true"/>
      <sz val="15"/>
      <color rgb="FFE8A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E8E4DC"/>
      <name val="Arial"/>
      <family val="0"/>
      <charset val="1"/>
    </font>
    <font>
      <b val="true"/>
      <sz val="15"/>
      <color rgb="FF2AB8A0"/>
      <name val="Arial"/>
      <family val="0"/>
      <charset val="1"/>
    </font>
    <font>
      <b val="true"/>
      <sz val="15"/>
      <color rgb="FF5090E0"/>
      <name val="Arial"/>
      <family val="0"/>
      <charset val="1"/>
    </font>
    <font>
      <b val="true"/>
      <sz val="15"/>
      <color rgb="FFE05050"/>
      <name val="Arial"/>
      <family val="0"/>
      <charset val="1"/>
    </font>
    <font>
      <i val="true"/>
      <sz val="9"/>
      <color rgb="FFE05050"/>
      <name val="Arial"/>
      <family val="0"/>
      <charset val="1"/>
    </font>
    <font>
      <b val="true"/>
      <sz val="10"/>
      <color rgb="FF2AB8A0"/>
      <name val="Arial"/>
      <family val="0"/>
      <charset val="1"/>
    </font>
    <font>
      <b val="true"/>
      <sz val="10"/>
      <color rgb="FF1E9E88"/>
      <name val="Arial"/>
      <family val="0"/>
      <charset val="1"/>
    </font>
    <font>
      <b val="true"/>
      <sz val="14"/>
      <color rgb="FFE8A020"/>
      <name val="Arial"/>
      <family val="0"/>
      <charset val="1"/>
    </font>
    <font>
      <b val="true"/>
      <sz val="10"/>
      <color rgb="FFE8E4DC"/>
      <name val="Arial"/>
      <family val="0"/>
      <charset val="1"/>
    </font>
    <font>
      <i val="true"/>
      <sz val="9"/>
      <color rgb="FFE8E4DC"/>
      <name val="Arial"/>
      <family val="0"/>
      <charset val="1"/>
    </font>
    <font>
      <sz val="9"/>
      <color rgb="FF555555"/>
      <name val="Arial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0F0F0F"/>
        <bgColor rgb="FF181818"/>
      </patternFill>
    </fill>
    <fill>
      <patternFill patternType="solid">
        <fgColor rgb="FF2A2A2A"/>
        <bgColor rgb="FF333333"/>
      </patternFill>
    </fill>
    <fill>
      <patternFill patternType="solid">
        <fgColor rgb="FFFFFFFF"/>
        <bgColor rgb="FFFFF8F8"/>
      </patternFill>
    </fill>
    <fill>
      <patternFill patternType="solid">
        <fgColor rgb="FFF7F7F7"/>
        <bgColor rgb="FFF9F9F9"/>
      </patternFill>
    </fill>
    <fill>
      <patternFill patternType="solid">
        <fgColor rgb="FFFFF8F8"/>
        <bgColor rgb="FFF9F9F9"/>
      </patternFill>
    </fill>
    <fill>
      <patternFill patternType="solid">
        <fgColor rgb="FFC07010"/>
        <bgColor rgb="FFE05050"/>
      </patternFill>
    </fill>
    <fill>
      <patternFill patternType="solid">
        <fgColor rgb="FFFFF0CC"/>
        <bgColor rgb="FFFFE8E8"/>
      </patternFill>
    </fill>
    <fill>
      <patternFill patternType="solid">
        <fgColor rgb="FF3A5A3A"/>
        <bgColor rgb="FF555555"/>
      </patternFill>
    </fill>
    <fill>
      <patternFill patternType="solid">
        <fgColor rgb="FFD8F5E4"/>
        <bgColor rgb="FFD0F5EE"/>
      </patternFill>
    </fill>
    <fill>
      <patternFill patternType="solid">
        <fgColor rgb="FFFFE8E8"/>
        <bgColor rgb="FFF0EAF8"/>
      </patternFill>
    </fill>
    <fill>
      <patternFill patternType="solid">
        <fgColor rgb="FF3A3A5A"/>
        <bgColor rgb="FF3A3A7A"/>
      </patternFill>
    </fill>
    <fill>
      <patternFill patternType="solid">
        <fgColor rgb="FF5A3A1A"/>
        <bgColor rgb="FF444444"/>
      </patternFill>
    </fill>
    <fill>
      <patternFill patternType="solid">
        <fgColor rgb="FF5A1A1A"/>
        <bgColor rgb="FF7A2020"/>
      </patternFill>
    </fill>
    <fill>
      <patternFill patternType="solid">
        <fgColor rgb="FF1A3A5A"/>
        <bgColor rgb="FF3A3A5A"/>
      </patternFill>
    </fill>
    <fill>
      <patternFill patternType="solid">
        <fgColor rgb="FF1A4A2A"/>
        <bgColor rgb="FF1A3A5A"/>
      </patternFill>
    </fill>
    <fill>
      <patternFill patternType="solid">
        <fgColor rgb="FFF0F0F0"/>
        <bgColor rgb="FFF0EAF8"/>
      </patternFill>
    </fill>
    <fill>
      <patternFill patternType="solid">
        <fgColor rgb="FF181818"/>
        <bgColor rgb="FF0F0F0F"/>
      </patternFill>
    </fill>
    <fill>
      <patternFill patternType="solid">
        <fgColor rgb="FFF9F9F9"/>
        <bgColor rgb="FFF7F7F7"/>
      </patternFill>
    </fill>
    <fill>
      <patternFill patternType="solid">
        <fgColor rgb="FF1E9E88"/>
        <bgColor rgb="FF2AB8A0"/>
      </patternFill>
    </fill>
    <fill>
      <patternFill patternType="solid">
        <fgColor rgb="FF5090E0"/>
        <bgColor rgb="FF4CAF80"/>
      </patternFill>
    </fill>
    <fill>
      <patternFill patternType="solid">
        <fgColor rgb="FFD0F5EE"/>
        <bgColor rgb="FFD8F5E4"/>
      </patternFill>
    </fill>
    <fill>
      <patternFill patternType="solid">
        <fgColor rgb="FF4CAF80"/>
        <bgColor rgb="FF2AB8A0"/>
      </patternFill>
    </fill>
    <fill>
      <patternFill patternType="solid">
        <fgColor rgb="FFE05050"/>
        <bgColor rgb="FFC07010"/>
      </patternFill>
    </fill>
    <fill>
      <patternFill patternType="solid">
        <fgColor rgb="FF2AB8A0"/>
        <bgColor rgb="FF1E9E88"/>
      </patternFill>
    </fill>
    <fill>
      <patternFill patternType="solid">
        <fgColor rgb="FF7A2020"/>
        <bgColor rgb="FF5A1A1A"/>
      </patternFill>
    </fill>
    <fill>
      <patternFill patternType="solid">
        <fgColor rgb="FF3A3A7A"/>
        <bgColor rgb="FF3A3A5A"/>
      </patternFill>
    </fill>
    <fill>
      <patternFill patternType="solid">
        <fgColor rgb="FFF0EAF8"/>
        <bgColor rgb="FFF0F0F0"/>
      </patternFill>
    </fill>
    <fill>
      <patternFill patternType="solid">
        <fgColor rgb="FF207A40"/>
        <bgColor rgb="FF1A5A6A"/>
      </patternFill>
    </fill>
    <fill>
      <patternFill patternType="solid">
        <fgColor rgb="FF7A5A1A"/>
        <bgColor rgb="FF555555"/>
      </patternFill>
    </fill>
    <fill>
      <patternFill patternType="solid">
        <fgColor rgb="FF1A5A6A"/>
        <bgColor rgb="FF3A5A3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9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9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7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1A1A"/>
      <rgbColor rgb="FF207A40"/>
      <rgbColor rgb="FF0F0F0F"/>
      <rgbColor rgb="FF7A5A1A"/>
      <rgbColor rgb="FF800080"/>
      <rgbColor rgb="FF1A5A6A"/>
      <rgbColor rgb="FFCCCCCC"/>
      <rgbColor rgb="FF888480"/>
      <rgbColor rgb="FF4CAF80"/>
      <rgbColor rgb="FF5A3A1A"/>
      <rgbColor rgb="FFFFF0CC"/>
      <rgbColor rgb="FFD0F5EE"/>
      <rgbColor rgb="FF3A3A5A"/>
      <rgbColor rgb="FFC07010"/>
      <rgbColor rgb="FF1A4A2A"/>
      <rgbColor rgb="FFE8E4DC"/>
      <rgbColor rgb="FF000080"/>
      <rgbColor rgb="FFFF00FF"/>
      <rgbColor rgb="FFFFFF00"/>
      <rgbColor rgb="FF00FFFF"/>
      <rgbColor rgb="FF800080"/>
      <rgbColor rgb="FF800000"/>
      <rgbColor rgb="FF3A5A3A"/>
      <rgbColor rgb="FF0000FF"/>
      <rgbColor rgb="FF00CCFF"/>
      <rgbColor rgb="FFF0F0F0"/>
      <rgbColor rgb="FFD8F5E4"/>
      <rgbColor rgb="FFFFE8E8"/>
      <rgbColor rgb="FFF7F7F7"/>
      <rgbColor rgb="FFFFF8F8"/>
      <rgbColor rgb="FFF9F9F9"/>
      <rgbColor rgb="FFF0EAF8"/>
      <rgbColor rgb="FF5090E0"/>
      <rgbColor rgb="FF2AB8A0"/>
      <rgbColor rgb="FF99CC00"/>
      <rgbColor rgb="FFFFCC00"/>
      <rgbColor rgb="FFE8A020"/>
      <rgbColor rgb="FFE05050"/>
      <rgbColor rgb="FF555555"/>
      <rgbColor rgb="FF888888"/>
      <rgbColor rgb="FF1A3A5A"/>
      <rgbColor rgb="FF1E9E88"/>
      <rgbColor rgb="FF181818"/>
      <rgbColor rgb="FF2A2A2A"/>
      <rgbColor rgb="FF7A2020"/>
      <rgbColor rgb="FF444444"/>
      <rgbColor rgb="FF3A3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8"/>
    <col collapsed="false" customWidth="true" hidden="false" outlineLevel="0" max="8" min="8" style="1" width="4"/>
  </cols>
  <sheetData>
    <row r="1" customFormat="false" ht="39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21.75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18" hidden="false" customHeight="true" outlineLevel="0" collapsed="false">
      <c r="B3" s="4" t="s">
        <v>2</v>
      </c>
      <c r="C3" s="4"/>
      <c r="D3" s="4"/>
      <c r="E3" s="4"/>
      <c r="F3" s="4"/>
      <c r="G3" s="4"/>
    </row>
    <row r="4" customFormat="false" ht="7.5" hidden="false" customHeight="true" outlineLevel="0" collapsed="false"/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31.5" hidden="false" customHeight="true" outlineLevel="0" collapsed="false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/>
    </row>
    <row r="7" customFormat="false" ht="19.5" hidden="false" customHeight="true" outlineLevel="0" collapsed="false">
      <c r="B7" s="7" t="s">
        <v>9</v>
      </c>
      <c r="C7" s="8" t="n">
        <v>350000</v>
      </c>
      <c r="D7" s="8" t="n">
        <v>575000</v>
      </c>
      <c r="E7" s="8" t="n">
        <v>825000</v>
      </c>
      <c r="F7" s="9" t="s">
        <v>10</v>
      </c>
    </row>
    <row r="8" customFormat="false" ht="19.5" hidden="false" customHeight="true" outlineLevel="0" collapsed="false">
      <c r="B8" s="10" t="s">
        <v>11</v>
      </c>
      <c r="C8" s="11" t="n">
        <v>185000</v>
      </c>
      <c r="D8" s="11" t="n">
        <v>280000</v>
      </c>
      <c r="E8" s="11" t="n">
        <v>425000</v>
      </c>
      <c r="F8" s="12" t="s">
        <v>12</v>
      </c>
    </row>
    <row r="9" customFormat="false" ht="19.5" hidden="false" customHeight="true" outlineLevel="0" collapsed="false">
      <c r="B9" s="7" t="s">
        <v>13</v>
      </c>
      <c r="C9" s="8" t="n">
        <v>160000</v>
      </c>
      <c r="D9" s="8" t="n">
        <v>240000</v>
      </c>
      <c r="E9" s="8" t="n">
        <v>365000</v>
      </c>
      <c r="F9" s="9" t="s">
        <v>14</v>
      </c>
    </row>
    <row r="10" customFormat="false" ht="19.5" hidden="false" customHeight="true" outlineLevel="0" collapsed="false">
      <c r="B10" s="10" t="s">
        <v>15</v>
      </c>
      <c r="C10" s="11" t="n">
        <v>82500</v>
      </c>
      <c r="D10" s="11" t="n">
        <v>142500</v>
      </c>
      <c r="E10" s="11" t="n">
        <v>210000</v>
      </c>
      <c r="F10" s="12" t="s">
        <v>16</v>
      </c>
    </row>
    <row r="11" customFormat="false" ht="19.5" hidden="false" customHeight="true" outlineLevel="0" collapsed="false">
      <c r="B11" s="7" t="s">
        <v>17</v>
      </c>
      <c r="C11" s="8" t="n">
        <v>50000</v>
      </c>
      <c r="D11" s="8" t="n">
        <v>67500</v>
      </c>
      <c r="E11" s="8" t="n">
        <v>85000</v>
      </c>
      <c r="F11" s="9" t="s">
        <v>18</v>
      </c>
    </row>
    <row r="12" customFormat="false" ht="19.5" hidden="false" customHeight="true" outlineLevel="0" collapsed="false">
      <c r="B12" s="10" t="s">
        <v>19</v>
      </c>
      <c r="C12" s="11" t="n">
        <v>30500</v>
      </c>
      <c r="D12" s="11" t="n">
        <v>42500</v>
      </c>
      <c r="E12" s="11" t="n">
        <v>57500</v>
      </c>
      <c r="F12" s="12" t="s">
        <v>20</v>
      </c>
    </row>
    <row r="13" customFormat="false" ht="19.5" hidden="false" customHeight="true" outlineLevel="0" collapsed="false">
      <c r="B13" s="7" t="s">
        <v>21</v>
      </c>
      <c r="C13" s="8" t="n">
        <v>177500</v>
      </c>
      <c r="D13" s="8" t="n">
        <v>240000</v>
      </c>
      <c r="E13" s="8" t="n">
        <v>315000</v>
      </c>
      <c r="F13" s="9" t="s">
        <v>22</v>
      </c>
    </row>
    <row r="14" customFormat="false" ht="19.5" hidden="false" customHeight="true" outlineLevel="0" collapsed="false">
      <c r="B14" s="10" t="s">
        <v>23</v>
      </c>
      <c r="C14" s="11" t="n">
        <v>110000</v>
      </c>
      <c r="D14" s="11" t="n">
        <v>170000</v>
      </c>
      <c r="E14" s="11" t="n">
        <v>240000</v>
      </c>
      <c r="F14" s="12" t="s">
        <v>24</v>
      </c>
    </row>
    <row r="15" customFormat="false" ht="19.5" hidden="false" customHeight="true" outlineLevel="0" collapsed="false">
      <c r="B15" s="7" t="s">
        <v>25</v>
      </c>
      <c r="C15" s="8" t="n">
        <v>29000</v>
      </c>
      <c r="D15" s="8" t="n">
        <v>42500</v>
      </c>
      <c r="E15" s="8" t="n">
        <v>60000</v>
      </c>
      <c r="F15" s="9" t="s">
        <v>26</v>
      </c>
    </row>
    <row r="16" customFormat="false" ht="19.5" hidden="false" customHeight="true" outlineLevel="0" collapsed="false">
      <c r="B16" s="10" t="s">
        <v>27</v>
      </c>
      <c r="C16" s="11" t="n">
        <v>33000</v>
      </c>
      <c r="D16" s="11" t="n">
        <v>45500</v>
      </c>
      <c r="E16" s="11" t="n">
        <v>60500</v>
      </c>
      <c r="F16" s="12" t="s">
        <v>28</v>
      </c>
    </row>
    <row r="17" customFormat="false" ht="19.5" hidden="false" customHeight="true" outlineLevel="0" collapsed="false">
      <c r="B17" s="7" t="s">
        <v>29</v>
      </c>
      <c r="C17" s="8" t="n">
        <v>40000</v>
      </c>
      <c r="D17" s="8" t="n">
        <v>65000</v>
      </c>
      <c r="E17" s="8" t="n">
        <v>105000</v>
      </c>
      <c r="F17" s="9" t="s">
        <v>30</v>
      </c>
    </row>
    <row r="18" customFormat="false" ht="19.5" hidden="false" customHeight="true" outlineLevel="0" collapsed="false">
      <c r="B18" s="13" t="s">
        <v>31</v>
      </c>
      <c r="C18" s="14" t="n">
        <f aca="false">ROUND(SUM(C7:C17)*0.1,0)</f>
        <v>124750</v>
      </c>
      <c r="D18" s="14" t="n">
        <f aca="false">ROUND(SUM(D7:D17)*0.1,0)</f>
        <v>191050</v>
      </c>
      <c r="E18" s="14" t="n">
        <f aca="false">ROUND(SUM(E7:E17)*0.1,0)</f>
        <v>274800</v>
      </c>
      <c r="F18" s="15" t="s">
        <v>32</v>
      </c>
    </row>
    <row r="19" customFormat="false" ht="31.5" hidden="false" customHeight="true" outlineLevel="0" collapsed="false">
      <c r="B19" s="16" t="s">
        <v>33</v>
      </c>
      <c r="C19" s="17" t="n">
        <f aca="false">SUM(C7:C18)</f>
        <v>1372250</v>
      </c>
      <c r="D19" s="17" t="n">
        <f aca="false">SUM(D7:D18)</f>
        <v>2101550</v>
      </c>
      <c r="E19" s="17" t="n">
        <f aca="false">SUM(E7:E18)</f>
        <v>3022800</v>
      </c>
      <c r="F19" s="18" t="s">
        <v>34</v>
      </c>
    </row>
    <row r="21" customFormat="false" ht="21.75" hidden="false" customHeight="true" outlineLevel="0" collapsed="false">
      <c r="B21" s="19" t="s">
        <v>35</v>
      </c>
    </row>
    <row r="22" customFormat="false" ht="36" hidden="false" customHeight="true" outlineLevel="0" collapsed="false">
      <c r="B22" s="20" t="s">
        <v>36</v>
      </c>
      <c r="C22" s="21" t="s">
        <v>37</v>
      </c>
      <c r="D22" s="21"/>
      <c r="E22" s="21"/>
      <c r="F22" s="21"/>
      <c r="G22" s="21"/>
    </row>
    <row r="23" customFormat="false" ht="36" hidden="false" customHeight="true" outlineLevel="0" collapsed="false">
      <c r="B23" s="20" t="s">
        <v>38</v>
      </c>
      <c r="C23" s="21" t="s">
        <v>39</v>
      </c>
      <c r="D23" s="21"/>
      <c r="E23" s="21"/>
      <c r="F23" s="21"/>
      <c r="G23" s="21"/>
    </row>
    <row r="24" customFormat="false" ht="36" hidden="false" customHeight="true" outlineLevel="0" collapsed="false">
      <c r="B24" s="20" t="s">
        <v>40</v>
      </c>
      <c r="C24" s="21" t="s">
        <v>41</v>
      </c>
      <c r="D24" s="21"/>
      <c r="E24" s="21"/>
      <c r="F24" s="21"/>
      <c r="G24" s="21"/>
    </row>
    <row r="26" customFormat="false" ht="15" hidden="false" customHeight="true" outlineLevel="0" collapsed="false">
      <c r="B26" s="22" t="s">
        <v>42</v>
      </c>
      <c r="C26" s="22"/>
      <c r="D26" s="22"/>
      <c r="E26" s="22"/>
      <c r="F26" s="22"/>
      <c r="G26" s="22"/>
    </row>
  </sheetData>
  <mergeCells count="8">
    <mergeCell ref="B1:G1"/>
    <mergeCell ref="B2:G2"/>
    <mergeCell ref="B3:G3"/>
    <mergeCell ref="B5:G5"/>
    <mergeCell ref="C22:G22"/>
    <mergeCell ref="C23:G23"/>
    <mergeCell ref="C24:G24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4"/>
  </cols>
  <sheetData>
    <row r="1" customFormat="false" ht="39.75" hidden="false" customHeight="true" outlineLevel="0" collapsed="false">
      <c r="B1" s="23" t="s">
        <v>43</v>
      </c>
      <c r="C1" s="23"/>
      <c r="D1" s="23"/>
      <c r="E1" s="23"/>
      <c r="F1" s="23"/>
      <c r="G1" s="23"/>
      <c r="H1" s="23"/>
      <c r="I1" s="23"/>
    </row>
    <row r="2" customFormat="false" ht="19.5" hidden="false" customHeight="true" outlineLevel="0" collapsed="false">
      <c r="B2" s="24" t="s">
        <v>44</v>
      </c>
      <c r="C2" s="24"/>
      <c r="D2" s="24"/>
      <c r="E2" s="24"/>
      <c r="F2" s="24"/>
      <c r="G2" s="24"/>
      <c r="H2" s="24"/>
      <c r="I2" s="24"/>
    </row>
    <row r="3" customFormat="false" ht="18" hidden="false" customHeight="true" outlineLevel="0" collapsed="false">
      <c r="B3" s="25" t="s">
        <v>45</v>
      </c>
      <c r="C3" s="25"/>
      <c r="D3" s="25"/>
      <c r="E3" s="25"/>
      <c r="F3" s="25"/>
      <c r="G3" s="25"/>
      <c r="H3" s="25"/>
      <c r="I3" s="25"/>
    </row>
    <row r="4" customFormat="false" ht="31.5" hidden="false" customHeight="true" outlineLevel="0" collapsed="false">
      <c r="B4" s="6" t="s">
        <v>46</v>
      </c>
      <c r="C4" s="6" t="s">
        <v>4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</row>
    <row r="5" customFormat="false" ht="21.75" hidden="false" customHeight="true" outlineLevel="0" collapsed="false">
      <c r="B5" s="26" t="s">
        <v>53</v>
      </c>
      <c r="C5" s="26"/>
      <c r="D5" s="26"/>
      <c r="E5" s="26"/>
      <c r="F5" s="26"/>
      <c r="G5" s="26"/>
      <c r="H5" s="26"/>
      <c r="I5" s="26"/>
    </row>
    <row r="6" customFormat="false" ht="19.5" hidden="false" customHeight="true" outlineLevel="0" collapsed="false">
      <c r="B6" s="27" t="s">
        <v>54</v>
      </c>
      <c r="C6" s="28" t="s">
        <v>55</v>
      </c>
      <c r="D6" s="29" t="s">
        <v>56</v>
      </c>
      <c r="E6" s="30" t="n">
        <v>25</v>
      </c>
      <c r="F6" s="31" t="n">
        <v>350</v>
      </c>
      <c r="G6" s="32" t="n">
        <v>0.38</v>
      </c>
      <c r="H6" s="33" t="s">
        <v>57</v>
      </c>
      <c r="I6" s="34" t="s">
        <v>58</v>
      </c>
    </row>
    <row r="7" customFormat="false" ht="19.5" hidden="false" customHeight="true" outlineLevel="0" collapsed="false">
      <c r="B7" s="27" t="s">
        <v>59</v>
      </c>
      <c r="C7" s="28" t="s">
        <v>55</v>
      </c>
      <c r="D7" s="29" t="s">
        <v>56</v>
      </c>
      <c r="E7" s="30" t="n">
        <v>20</v>
      </c>
      <c r="F7" s="31" t="n">
        <v>320</v>
      </c>
      <c r="G7" s="32" t="n">
        <v>0.36</v>
      </c>
      <c r="H7" s="33" t="s">
        <v>60</v>
      </c>
      <c r="I7" s="34" t="s">
        <v>61</v>
      </c>
    </row>
    <row r="8" customFormat="false" ht="19.5" hidden="false" customHeight="true" outlineLevel="0" collapsed="false">
      <c r="B8" s="27" t="s">
        <v>62</v>
      </c>
      <c r="C8" s="28" t="s">
        <v>55</v>
      </c>
      <c r="D8" s="29" t="s">
        <v>56</v>
      </c>
      <c r="E8" s="30" t="n">
        <v>30</v>
      </c>
      <c r="F8" s="31" t="n">
        <v>200</v>
      </c>
      <c r="G8" s="32" t="n">
        <v>0.4</v>
      </c>
      <c r="H8" s="33" t="s">
        <v>63</v>
      </c>
      <c r="I8" s="34" t="s">
        <v>64</v>
      </c>
    </row>
    <row r="9" customFormat="false" ht="19.5" hidden="false" customHeight="true" outlineLevel="0" collapsed="false">
      <c r="B9" s="35" t="s">
        <v>65</v>
      </c>
      <c r="C9" s="36" t="s">
        <v>55</v>
      </c>
      <c r="D9" s="37" t="s">
        <v>66</v>
      </c>
      <c r="E9" s="38" t="n">
        <v>15</v>
      </c>
      <c r="F9" s="39" t="n">
        <v>450</v>
      </c>
      <c r="G9" s="40" t="n">
        <v>0.38</v>
      </c>
      <c r="H9" s="41" t="s">
        <v>67</v>
      </c>
      <c r="I9" s="42" t="s">
        <v>68</v>
      </c>
    </row>
    <row r="10" customFormat="false" ht="19.5" hidden="false" customHeight="true" outlineLevel="0" collapsed="false">
      <c r="B10" s="35" t="s">
        <v>69</v>
      </c>
      <c r="C10" s="36" t="s">
        <v>55</v>
      </c>
      <c r="D10" s="37" t="s">
        <v>66</v>
      </c>
      <c r="E10" s="38" t="n">
        <v>10</v>
      </c>
      <c r="F10" s="39" t="n">
        <v>250</v>
      </c>
      <c r="G10" s="40" t="n">
        <v>0.35</v>
      </c>
      <c r="H10" s="41" t="s">
        <v>70</v>
      </c>
      <c r="I10" s="42" t="s">
        <v>71</v>
      </c>
    </row>
    <row r="11" customFormat="false" ht="19.5" hidden="false" customHeight="true" outlineLevel="0" collapsed="false">
      <c r="B11" s="43" t="s">
        <v>72</v>
      </c>
      <c r="C11" s="44" t="s">
        <v>55</v>
      </c>
      <c r="D11" s="45" t="s">
        <v>73</v>
      </c>
      <c r="E11" s="46" t="n">
        <v>0</v>
      </c>
      <c r="F11" s="47" t="n">
        <v>280</v>
      </c>
      <c r="G11" s="48" t="n">
        <v>0.38</v>
      </c>
      <c r="H11" s="49" t="s">
        <v>74</v>
      </c>
      <c r="I11" s="50" t="s">
        <v>75</v>
      </c>
    </row>
    <row r="12" customFormat="false" ht="21.75" hidden="false" customHeight="true" outlineLevel="0" collapsed="false">
      <c r="B12" s="51" t="s">
        <v>76</v>
      </c>
      <c r="C12" s="51"/>
      <c r="D12" s="51"/>
      <c r="E12" s="51"/>
      <c r="F12" s="51"/>
      <c r="G12" s="51"/>
      <c r="H12" s="51"/>
      <c r="I12" s="51"/>
    </row>
    <row r="13" customFormat="false" ht="19.5" hidden="false" customHeight="true" outlineLevel="0" collapsed="false">
      <c r="B13" s="27" t="s">
        <v>77</v>
      </c>
      <c r="C13" s="28" t="s">
        <v>78</v>
      </c>
      <c r="D13" s="29" t="s">
        <v>56</v>
      </c>
      <c r="E13" s="30" t="n">
        <v>35</v>
      </c>
      <c r="F13" s="31" t="n">
        <v>200</v>
      </c>
      <c r="G13" s="32" t="n">
        <v>0.42</v>
      </c>
      <c r="H13" s="33" t="s">
        <v>79</v>
      </c>
      <c r="I13" s="34" t="s">
        <v>80</v>
      </c>
    </row>
    <row r="14" customFormat="false" ht="19.5" hidden="false" customHeight="true" outlineLevel="0" collapsed="false">
      <c r="B14" s="27" t="s">
        <v>81</v>
      </c>
      <c r="C14" s="28" t="s">
        <v>78</v>
      </c>
      <c r="D14" s="29" t="s">
        <v>56</v>
      </c>
      <c r="E14" s="30" t="n">
        <v>20</v>
      </c>
      <c r="F14" s="31" t="n">
        <v>230</v>
      </c>
      <c r="G14" s="32" t="n">
        <v>0.4</v>
      </c>
      <c r="H14" s="33" t="s">
        <v>82</v>
      </c>
      <c r="I14" s="34" t="s">
        <v>83</v>
      </c>
    </row>
    <row r="15" customFormat="false" ht="19.5" hidden="false" customHeight="true" outlineLevel="0" collapsed="false">
      <c r="B15" s="27" t="s">
        <v>84</v>
      </c>
      <c r="C15" s="28" t="s">
        <v>78</v>
      </c>
      <c r="D15" s="29" t="s">
        <v>56</v>
      </c>
      <c r="E15" s="30" t="n">
        <v>20</v>
      </c>
      <c r="F15" s="31" t="n">
        <v>180</v>
      </c>
      <c r="G15" s="32" t="n">
        <v>0.38</v>
      </c>
      <c r="H15" s="33" t="s">
        <v>85</v>
      </c>
      <c r="I15" s="34" t="s">
        <v>86</v>
      </c>
    </row>
    <row r="16" customFormat="false" ht="19.5" hidden="false" customHeight="true" outlineLevel="0" collapsed="false">
      <c r="B16" s="27" t="s">
        <v>87</v>
      </c>
      <c r="C16" s="28" t="s">
        <v>78</v>
      </c>
      <c r="D16" s="29" t="s">
        <v>56</v>
      </c>
      <c r="E16" s="30" t="n">
        <v>15</v>
      </c>
      <c r="F16" s="31" t="n">
        <v>150</v>
      </c>
      <c r="G16" s="32" t="n">
        <v>0.36</v>
      </c>
      <c r="H16" s="33" t="s">
        <v>88</v>
      </c>
      <c r="I16" s="34" t="s">
        <v>89</v>
      </c>
    </row>
    <row r="17" customFormat="false" ht="19.5" hidden="false" customHeight="true" outlineLevel="0" collapsed="false">
      <c r="B17" s="27" t="s">
        <v>90</v>
      </c>
      <c r="C17" s="28" t="s">
        <v>78</v>
      </c>
      <c r="D17" s="29" t="s">
        <v>56</v>
      </c>
      <c r="E17" s="30" t="n">
        <v>15</v>
      </c>
      <c r="F17" s="31" t="n">
        <v>250</v>
      </c>
      <c r="G17" s="32" t="n">
        <v>0.4</v>
      </c>
      <c r="H17" s="33" t="s">
        <v>91</v>
      </c>
      <c r="I17" s="34" t="s">
        <v>92</v>
      </c>
    </row>
    <row r="18" customFormat="false" ht="19.5" hidden="false" customHeight="true" outlineLevel="0" collapsed="false">
      <c r="B18" s="35" t="s">
        <v>93</v>
      </c>
      <c r="C18" s="36" t="s">
        <v>78</v>
      </c>
      <c r="D18" s="37" t="s">
        <v>66</v>
      </c>
      <c r="E18" s="38" t="n">
        <v>10</v>
      </c>
      <c r="F18" s="39" t="n">
        <v>150</v>
      </c>
      <c r="G18" s="40" t="n">
        <v>0.32</v>
      </c>
      <c r="H18" s="41" t="s">
        <v>94</v>
      </c>
      <c r="I18" s="42" t="s">
        <v>95</v>
      </c>
    </row>
    <row r="19" customFormat="false" ht="19.5" hidden="false" customHeight="true" outlineLevel="0" collapsed="false">
      <c r="B19" s="35" t="s">
        <v>96</v>
      </c>
      <c r="C19" s="36" t="s">
        <v>78</v>
      </c>
      <c r="D19" s="37" t="s">
        <v>66</v>
      </c>
      <c r="E19" s="38" t="n">
        <v>10</v>
      </c>
      <c r="F19" s="39" t="n">
        <v>400</v>
      </c>
      <c r="G19" s="40" t="n">
        <v>0.38</v>
      </c>
      <c r="H19" s="41" t="s">
        <v>97</v>
      </c>
      <c r="I19" s="42" t="s">
        <v>98</v>
      </c>
    </row>
    <row r="20" customFormat="false" ht="21.75" hidden="false" customHeight="true" outlineLevel="0" collapsed="false">
      <c r="B20" s="52" t="s">
        <v>99</v>
      </c>
      <c r="C20" s="52"/>
      <c r="D20" s="52"/>
      <c r="E20" s="52"/>
      <c r="F20" s="52"/>
      <c r="G20" s="52"/>
      <c r="H20" s="52"/>
      <c r="I20" s="52"/>
    </row>
    <row r="21" customFormat="false" ht="19.5" hidden="false" customHeight="true" outlineLevel="0" collapsed="false">
      <c r="B21" s="27" t="s">
        <v>100</v>
      </c>
      <c r="C21" s="28" t="s">
        <v>101</v>
      </c>
      <c r="D21" s="29" t="s">
        <v>56</v>
      </c>
      <c r="E21" s="30" t="n">
        <v>30</v>
      </c>
      <c r="F21" s="31" t="n">
        <v>200</v>
      </c>
      <c r="G21" s="32" t="n">
        <v>0.4</v>
      </c>
      <c r="H21" s="33" t="s">
        <v>102</v>
      </c>
      <c r="I21" s="34" t="s">
        <v>103</v>
      </c>
    </row>
    <row r="22" customFormat="false" ht="19.5" hidden="false" customHeight="true" outlineLevel="0" collapsed="false">
      <c r="B22" s="27" t="s">
        <v>104</v>
      </c>
      <c r="C22" s="28" t="s">
        <v>101</v>
      </c>
      <c r="D22" s="29" t="s">
        <v>56</v>
      </c>
      <c r="E22" s="30" t="n">
        <v>20</v>
      </c>
      <c r="F22" s="31" t="n">
        <v>230</v>
      </c>
      <c r="G22" s="32" t="n">
        <v>0.38</v>
      </c>
      <c r="H22" s="33" t="s">
        <v>105</v>
      </c>
      <c r="I22" s="34" t="s">
        <v>106</v>
      </c>
    </row>
    <row r="23" customFormat="false" ht="19.5" hidden="false" customHeight="true" outlineLevel="0" collapsed="false">
      <c r="B23" s="27" t="s">
        <v>107</v>
      </c>
      <c r="C23" s="28" t="s">
        <v>101</v>
      </c>
      <c r="D23" s="29" t="s">
        <v>56</v>
      </c>
      <c r="E23" s="30" t="n">
        <v>15</v>
      </c>
      <c r="F23" s="31" t="n">
        <v>180</v>
      </c>
      <c r="G23" s="32" t="n">
        <v>0.36</v>
      </c>
      <c r="H23" s="33" t="s">
        <v>108</v>
      </c>
      <c r="I23" s="34" t="s">
        <v>109</v>
      </c>
    </row>
    <row r="24" customFormat="false" ht="19.5" hidden="false" customHeight="true" outlineLevel="0" collapsed="false">
      <c r="B24" s="27" t="s">
        <v>110</v>
      </c>
      <c r="C24" s="28" t="s">
        <v>101</v>
      </c>
      <c r="D24" s="29" t="s">
        <v>56</v>
      </c>
      <c r="E24" s="30" t="n">
        <v>20</v>
      </c>
      <c r="F24" s="31" t="n">
        <v>120</v>
      </c>
      <c r="G24" s="32" t="n">
        <v>0.35</v>
      </c>
      <c r="H24" s="33" t="s">
        <v>111</v>
      </c>
      <c r="I24" s="34" t="s">
        <v>112</v>
      </c>
    </row>
    <row r="25" customFormat="false" ht="19.5" hidden="false" customHeight="true" outlineLevel="0" collapsed="false">
      <c r="B25" s="27" t="s">
        <v>113</v>
      </c>
      <c r="C25" s="28" t="s">
        <v>101</v>
      </c>
      <c r="D25" s="29" t="s">
        <v>56</v>
      </c>
      <c r="E25" s="30" t="n">
        <v>15</v>
      </c>
      <c r="F25" s="31" t="n">
        <v>180</v>
      </c>
      <c r="G25" s="32" t="n">
        <v>0.38</v>
      </c>
      <c r="H25" s="33" t="s">
        <v>114</v>
      </c>
      <c r="I25" s="34" t="s">
        <v>115</v>
      </c>
    </row>
    <row r="26" customFormat="false" ht="19.5" hidden="false" customHeight="true" outlineLevel="0" collapsed="false">
      <c r="B26" s="35" t="s">
        <v>116</v>
      </c>
      <c r="C26" s="36" t="s">
        <v>101</v>
      </c>
      <c r="D26" s="37" t="s">
        <v>66</v>
      </c>
      <c r="E26" s="38" t="n">
        <v>10</v>
      </c>
      <c r="F26" s="39" t="n">
        <v>150</v>
      </c>
      <c r="G26" s="40" t="n">
        <v>0.32</v>
      </c>
      <c r="H26" s="41" t="s">
        <v>117</v>
      </c>
      <c r="I26" s="42" t="s">
        <v>118</v>
      </c>
    </row>
    <row r="27" customFormat="false" ht="19.5" hidden="false" customHeight="true" outlineLevel="0" collapsed="false">
      <c r="B27" s="35" t="s">
        <v>119</v>
      </c>
      <c r="C27" s="36" t="s">
        <v>101</v>
      </c>
      <c r="D27" s="37" t="s">
        <v>66</v>
      </c>
      <c r="E27" s="38" t="n">
        <v>25</v>
      </c>
      <c r="F27" s="39" t="n">
        <v>50</v>
      </c>
      <c r="G27" s="40" t="n">
        <v>0.3</v>
      </c>
      <c r="H27" s="41" t="s">
        <v>120</v>
      </c>
      <c r="I27" s="42" t="s">
        <v>121</v>
      </c>
    </row>
    <row r="28" customFormat="false" ht="19.5" hidden="false" customHeight="true" outlineLevel="0" collapsed="false">
      <c r="B28" s="43" t="s">
        <v>122</v>
      </c>
      <c r="C28" s="44" t="s">
        <v>101</v>
      </c>
      <c r="D28" s="45" t="s">
        <v>73</v>
      </c>
      <c r="E28" s="46" t="n">
        <v>0</v>
      </c>
      <c r="F28" s="47" t="n">
        <v>180</v>
      </c>
      <c r="G28" s="48" t="n">
        <v>0.4</v>
      </c>
      <c r="H28" s="49" t="s">
        <v>123</v>
      </c>
      <c r="I28" s="50" t="s">
        <v>75</v>
      </c>
    </row>
    <row r="29" customFormat="false" ht="21.75" hidden="false" customHeight="true" outlineLevel="0" collapsed="false">
      <c r="B29" s="53" t="s">
        <v>124</v>
      </c>
      <c r="C29" s="53"/>
      <c r="D29" s="53"/>
      <c r="E29" s="53"/>
      <c r="F29" s="53"/>
      <c r="G29" s="53"/>
      <c r="H29" s="53"/>
      <c r="I29" s="53"/>
    </row>
    <row r="30" customFormat="false" ht="19.5" hidden="false" customHeight="true" outlineLevel="0" collapsed="false">
      <c r="B30" s="27" t="s">
        <v>125</v>
      </c>
      <c r="C30" s="28" t="s">
        <v>126</v>
      </c>
      <c r="D30" s="29" t="s">
        <v>56</v>
      </c>
      <c r="E30" s="30" t="n">
        <v>10</v>
      </c>
      <c r="F30" s="31" t="n">
        <v>700</v>
      </c>
      <c r="G30" s="32" t="n">
        <v>0.45</v>
      </c>
      <c r="H30" s="33" t="s">
        <v>127</v>
      </c>
      <c r="I30" s="34" t="s">
        <v>128</v>
      </c>
    </row>
    <row r="31" customFormat="false" ht="19.5" hidden="false" customHeight="true" outlineLevel="0" collapsed="false">
      <c r="B31" s="27" t="s">
        <v>129</v>
      </c>
      <c r="C31" s="28" t="s">
        <v>126</v>
      </c>
      <c r="D31" s="29" t="s">
        <v>56</v>
      </c>
      <c r="E31" s="30" t="n">
        <v>10</v>
      </c>
      <c r="F31" s="31" t="n">
        <v>600</v>
      </c>
      <c r="G31" s="32" t="n">
        <v>0.44</v>
      </c>
      <c r="H31" s="33" t="s">
        <v>130</v>
      </c>
      <c r="I31" s="34" t="s">
        <v>131</v>
      </c>
    </row>
    <row r="32" customFormat="false" ht="19.5" hidden="false" customHeight="true" outlineLevel="0" collapsed="false">
      <c r="B32" s="35" t="s">
        <v>132</v>
      </c>
      <c r="C32" s="36" t="s">
        <v>126</v>
      </c>
      <c r="D32" s="37" t="s">
        <v>66</v>
      </c>
      <c r="E32" s="38" t="n">
        <v>12</v>
      </c>
      <c r="F32" s="39" t="n">
        <v>350</v>
      </c>
      <c r="G32" s="40" t="n">
        <v>0.4</v>
      </c>
      <c r="H32" s="41" t="s">
        <v>133</v>
      </c>
      <c r="I32" s="42" t="s">
        <v>134</v>
      </c>
    </row>
    <row r="33" customFormat="false" ht="19.5" hidden="false" customHeight="true" outlineLevel="0" collapsed="false">
      <c r="B33" s="35" t="s">
        <v>135</v>
      </c>
      <c r="C33" s="36" t="s">
        <v>126</v>
      </c>
      <c r="D33" s="37" t="s">
        <v>66</v>
      </c>
      <c r="E33" s="38" t="n">
        <v>8</v>
      </c>
      <c r="F33" s="39" t="n">
        <v>500</v>
      </c>
      <c r="G33" s="40" t="n">
        <v>0.42</v>
      </c>
      <c r="H33" s="41" t="s">
        <v>136</v>
      </c>
      <c r="I33" s="42" t="s">
        <v>137</v>
      </c>
    </row>
    <row r="34" customFormat="false" ht="19.5" hidden="false" customHeight="true" outlineLevel="0" collapsed="false">
      <c r="B34" s="27" t="s">
        <v>138</v>
      </c>
      <c r="C34" s="28" t="s">
        <v>139</v>
      </c>
      <c r="D34" s="29" t="s">
        <v>56</v>
      </c>
      <c r="E34" s="30" t="n">
        <v>30</v>
      </c>
      <c r="F34" s="31" t="n">
        <v>100</v>
      </c>
      <c r="G34" s="32" t="n">
        <v>0.35</v>
      </c>
      <c r="H34" s="33" t="s">
        <v>140</v>
      </c>
      <c r="I34" s="34" t="s">
        <v>141</v>
      </c>
    </row>
    <row r="35" customFormat="false" ht="19.5" hidden="false" customHeight="true" outlineLevel="0" collapsed="false">
      <c r="B35" s="35" t="s">
        <v>142</v>
      </c>
      <c r="C35" s="36" t="s">
        <v>139</v>
      </c>
      <c r="D35" s="37" t="s">
        <v>66</v>
      </c>
      <c r="E35" s="38" t="n">
        <v>15</v>
      </c>
      <c r="F35" s="39" t="n">
        <v>90</v>
      </c>
      <c r="G35" s="40" t="n">
        <v>0.3</v>
      </c>
      <c r="H35" s="41" t="s">
        <v>143</v>
      </c>
      <c r="I35" s="42" t="s">
        <v>118</v>
      </c>
    </row>
    <row r="36" customFormat="false" ht="19.5" hidden="false" customHeight="true" outlineLevel="0" collapsed="false">
      <c r="B36" s="43" t="s">
        <v>144</v>
      </c>
      <c r="C36" s="44" t="s">
        <v>139</v>
      </c>
      <c r="D36" s="45" t="s">
        <v>73</v>
      </c>
      <c r="E36" s="46" t="n">
        <v>0</v>
      </c>
      <c r="F36" s="47" t="n">
        <v>120</v>
      </c>
      <c r="G36" s="48" t="n">
        <v>0.38</v>
      </c>
      <c r="H36" s="49" t="s">
        <v>145</v>
      </c>
      <c r="I36" s="50" t="s">
        <v>146</v>
      </c>
    </row>
    <row r="37" customFormat="false" ht="19.5" hidden="false" customHeight="true" outlineLevel="0" collapsed="false">
      <c r="B37" s="27" t="s">
        <v>147</v>
      </c>
      <c r="C37" s="28" t="s">
        <v>139</v>
      </c>
      <c r="D37" s="29" t="s">
        <v>56</v>
      </c>
      <c r="E37" s="30" t="n">
        <v>20</v>
      </c>
      <c r="F37" s="31" t="n">
        <v>80</v>
      </c>
      <c r="G37" s="32" t="n">
        <v>0.4</v>
      </c>
      <c r="H37" s="33" t="s">
        <v>148</v>
      </c>
      <c r="I37" s="34" t="s">
        <v>149</v>
      </c>
    </row>
    <row r="38" customFormat="false" ht="21.75" hidden="false" customHeight="true" outlineLevel="0" collapsed="false">
      <c r="B38" s="54" t="s">
        <v>150</v>
      </c>
      <c r="C38" s="54"/>
      <c r="D38" s="54"/>
      <c r="E38" s="54"/>
      <c r="F38" s="54"/>
      <c r="G38" s="54"/>
      <c r="H38" s="54"/>
      <c r="I38" s="54"/>
    </row>
    <row r="39" customFormat="false" ht="19.5" hidden="false" customHeight="true" outlineLevel="0" collapsed="false">
      <c r="B39" s="27" t="s">
        <v>151</v>
      </c>
      <c r="C39" s="28" t="s">
        <v>152</v>
      </c>
      <c r="D39" s="29" t="s">
        <v>56</v>
      </c>
      <c r="E39" s="30" t="n">
        <v>8</v>
      </c>
      <c r="F39" s="31" t="n">
        <v>1200</v>
      </c>
      <c r="G39" s="32" t="n">
        <v>0.38</v>
      </c>
      <c r="H39" s="33" t="s">
        <v>153</v>
      </c>
      <c r="I39" s="34" t="s">
        <v>154</v>
      </c>
    </row>
    <row r="40" customFormat="false" ht="19.5" hidden="false" customHeight="true" outlineLevel="0" collapsed="false">
      <c r="B40" s="27" t="s">
        <v>155</v>
      </c>
      <c r="C40" s="28" t="s">
        <v>152</v>
      </c>
      <c r="D40" s="29" t="s">
        <v>56</v>
      </c>
      <c r="E40" s="30" t="n">
        <v>5</v>
      </c>
      <c r="F40" s="31" t="n">
        <v>900</v>
      </c>
      <c r="G40" s="32" t="n">
        <v>0.36</v>
      </c>
      <c r="H40" s="33" t="s">
        <v>156</v>
      </c>
      <c r="I40" s="34" t="s">
        <v>157</v>
      </c>
    </row>
    <row r="41" customFormat="false" ht="19.5" hidden="false" customHeight="true" outlineLevel="0" collapsed="false">
      <c r="B41" s="27" t="s">
        <v>158</v>
      </c>
      <c r="C41" s="28" t="s">
        <v>152</v>
      </c>
      <c r="D41" s="29" t="s">
        <v>56</v>
      </c>
      <c r="E41" s="30" t="n">
        <v>5</v>
      </c>
      <c r="F41" s="31" t="n">
        <v>700</v>
      </c>
      <c r="G41" s="32" t="n">
        <v>0.38</v>
      </c>
      <c r="H41" s="33" t="s">
        <v>159</v>
      </c>
      <c r="I41" s="34" t="s">
        <v>160</v>
      </c>
    </row>
    <row r="42" customFormat="false" ht="19.5" hidden="false" customHeight="true" outlineLevel="0" collapsed="false">
      <c r="B42" s="35" t="s">
        <v>161</v>
      </c>
      <c r="C42" s="36" t="s">
        <v>152</v>
      </c>
      <c r="D42" s="37" t="s">
        <v>66</v>
      </c>
      <c r="E42" s="38" t="n">
        <v>8</v>
      </c>
      <c r="F42" s="39" t="n">
        <v>180</v>
      </c>
      <c r="G42" s="40" t="n">
        <v>0.35</v>
      </c>
      <c r="H42" s="41" t="s">
        <v>162</v>
      </c>
      <c r="I42" s="42" t="s">
        <v>163</v>
      </c>
    </row>
    <row r="43" customFormat="false" ht="19.5" hidden="false" customHeight="true" outlineLevel="0" collapsed="false">
      <c r="B43" s="27" t="s">
        <v>164</v>
      </c>
      <c r="C43" s="28" t="s">
        <v>152</v>
      </c>
      <c r="D43" s="29" t="s">
        <v>56</v>
      </c>
      <c r="E43" s="30" t="n">
        <v>10</v>
      </c>
      <c r="F43" s="31" t="n">
        <v>120</v>
      </c>
      <c r="G43" s="32" t="n">
        <v>0.3</v>
      </c>
      <c r="H43" s="33" t="s">
        <v>165</v>
      </c>
      <c r="I43" s="34" t="s">
        <v>166</v>
      </c>
    </row>
    <row r="44" customFormat="false" ht="19.5" hidden="false" customHeight="true" outlineLevel="0" collapsed="false">
      <c r="B44" s="35" t="s">
        <v>167</v>
      </c>
      <c r="C44" s="36" t="s">
        <v>152</v>
      </c>
      <c r="D44" s="37" t="s">
        <v>66</v>
      </c>
      <c r="E44" s="38" t="n">
        <v>8</v>
      </c>
      <c r="F44" s="39" t="n">
        <v>150</v>
      </c>
      <c r="G44" s="40" t="n">
        <v>0.28</v>
      </c>
      <c r="H44" s="41" t="s">
        <v>168</v>
      </c>
      <c r="I44" s="42" t="s">
        <v>169</v>
      </c>
    </row>
    <row r="45" customFormat="false" ht="19.5" hidden="false" customHeight="true" outlineLevel="0" collapsed="false">
      <c r="B45" s="43" t="s">
        <v>170</v>
      </c>
      <c r="C45" s="44" t="s">
        <v>152</v>
      </c>
      <c r="D45" s="45" t="s">
        <v>73</v>
      </c>
      <c r="E45" s="46" t="n">
        <v>0</v>
      </c>
      <c r="F45" s="47" t="n">
        <v>500</v>
      </c>
      <c r="G45" s="48" t="n">
        <v>0.5</v>
      </c>
      <c r="H45" s="49" t="s">
        <v>171</v>
      </c>
      <c r="I45" s="50" t="s">
        <v>172</v>
      </c>
    </row>
    <row r="46" customFormat="false" ht="21.75" hidden="false" customHeight="true" outlineLevel="0" collapsed="false">
      <c r="B46" s="55" t="s">
        <v>173</v>
      </c>
      <c r="C46" s="55"/>
      <c r="D46" s="55"/>
      <c r="E46" s="55"/>
      <c r="F46" s="55"/>
      <c r="G46" s="55"/>
      <c r="H46" s="55"/>
      <c r="I46" s="55"/>
    </row>
    <row r="47" customFormat="false" ht="19.5" hidden="false" customHeight="true" outlineLevel="0" collapsed="false">
      <c r="B47" s="27" t="s">
        <v>174</v>
      </c>
      <c r="C47" s="28" t="s">
        <v>175</v>
      </c>
      <c r="D47" s="29" t="s">
        <v>56</v>
      </c>
      <c r="E47" s="30" t="n">
        <v>50</v>
      </c>
      <c r="F47" s="31" t="n">
        <v>50</v>
      </c>
      <c r="G47" s="32" t="n">
        <v>0.3</v>
      </c>
      <c r="H47" s="33" t="s">
        <v>176</v>
      </c>
      <c r="I47" s="34" t="s">
        <v>177</v>
      </c>
    </row>
    <row r="48" customFormat="false" ht="19.5" hidden="false" customHeight="true" outlineLevel="0" collapsed="false">
      <c r="B48" s="27" t="s">
        <v>178</v>
      </c>
      <c r="C48" s="28" t="s">
        <v>175</v>
      </c>
      <c r="D48" s="29" t="s">
        <v>56</v>
      </c>
      <c r="E48" s="30" t="n">
        <v>20</v>
      </c>
      <c r="F48" s="31" t="n">
        <v>60</v>
      </c>
      <c r="G48" s="32" t="n">
        <v>0.2</v>
      </c>
      <c r="H48" s="33" t="s">
        <v>179</v>
      </c>
      <c r="I48" s="34" t="s">
        <v>61</v>
      </c>
    </row>
    <row r="49" customFormat="false" ht="19.5" hidden="false" customHeight="true" outlineLevel="0" collapsed="false">
      <c r="B49" s="27" t="s">
        <v>180</v>
      </c>
      <c r="C49" s="28" t="s">
        <v>175</v>
      </c>
      <c r="D49" s="29" t="s">
        <v>56</v>
      </c>
      <c r="E49" s="30" t="n">
        <v>40</v>
      </c>
      <c r="F49" s="31" t="n">
        <v>80</v>
      </c>
      <c r="G49" s="32" t="n">
        <v>0.5</v>
      </c>
      <c r="H49" s="33" t="s">
        <v>181</v>
      </c>
      <c r="I49" s="34" t="s">
        <v>182</v>
      </c>
    </row>
    <row r="50" customFormat="false" ht="19.5" hidden="false" customHeight="true" outlineLevel="0" collapsed="false">
      <c r="B50" s="35" t="s">
        <v>183</v>
      </c>
      <c r="C50" s="36" t="s">
        <v>175</v>
      </c>
      <c r="D50" s="37" t="s">
        <v>66</v>
      </c>
      <c r="E50" s="38" t="n">
        <v>15</v>
      </c>
      <c r="F50" s="39" t="n">
        <v>120</v>
      </c>
      <c r="G50" s="40" t="n">
        <v>0.38</v>
      </c>
      <c r="H50" s="41" t="s">
        <v>184</v>
      </c>
      <c r="I50" s="42" t="s">
        <v>185</v>
      </c>
    </row>
    <row r="51" customFormat="false" ht="19.5" hidden="false" customHeight="true" outlineLevel="0" collapsed="false">
      <c r="B51" s="35" t="s">
        <v>186</v>
      </c>
      <c r="C51" s="36" t="s">
        <v>175</v>
      </c>
      <c r="D51" s="37" t="s">
        <v>66</v>
      </c>
      <c r="E51" s="38" t="n">
        <v>20</v>
      </c>
      <c r="F51" s="39" t="n">
        <v>80</v>
      </c>
      <c r="G51" s="40" t="n">
        <v>0.32</v>
      </c>
      <c r="H51" s="41" t="s">
        <v>187</v>
      </c>
      <c r="I51" s="42" t="s">
        <v>188</v>
      </c>
    </row>
    <row r="52" customFormat="false" ht="19.5" hidden="false" customHeight="true" outlineLevel="0" collapsed="false">
      <c r="B52" s="27" t="s">
        <v>189</v>
      </c>
      <c r="C52" s="28" t="s">
        <v>175</v>
      </c>
      <c r="D52" s="29" t="s">
        <v>56</v>
      </c>
      <c r="E52" s="30" t="n">
        <v>10</v>
      </c>
      <c r="F52" s="31" t="n">
        <v>100</v>
      </c>
      <c r="G52" s="32" t="n">
        <v>0.6</v>
      </c>
      <c r="H52" s="33" t="s">
        <v>190</v>
      </c>
      <c r="I52" s="34" t="s">
        <v>191</v>
      </c>
    </row>
    <row r="53" customFormat="false" ht="19.5" hidden="false" customHeight="true" outlineLevel="0" collapsed="false">
      <c r="B53" s="43" t="s">
        <v>192</v>
      </c>
      <c r="C53" s="44" t="s">
        <v>175</v>
      </c>
      <c r="D53" s="45" t="s">
        <v>73</v>
      </c>
      <c r="E53" s="46" t="n">
        <v>0</v>
      </c>
      <c r="F53" s="47" t="n">
        <v>200</v>
      </c>
      <c r="G53" s="48" t="n">
        <v>0.45</v>
      </c>
      <c r="H53" s="49" t="s">
        <v>193</v>
      </c>
      <c r="I53" s="50" t="s">
        <v>194</v>
      </c>
    </row>
    <row r="55" customFormat="false" ht="21.75" hidden="false" customHeight="true" outlineLevel="0" collapsed="false">
      <c r="B55" s="56" t="s">
        <v>195</v>
      </c>
      <c r="C55" s="56"/>
      <c r="D55" s="56"/>
      <c r="E55" s="56"/>
      <c r="F55" s="56"/>
      <c r="G55" s="56"/>
      <c r="H55" s="56"/>
      <c r="I55" s="56"/>
    </row>
    <row r="56" customFormat="false" ht="24" hidden="false" customHeight="true" outlineLevel="0" collapsed="false">
      <c r="B56" s="57" t="s">
        <v>196</v>
      </c>
      <c r="C56" s="58" t="n">
        <v>25</v>
      </c>
      <c r="D56" s="58"/>
      <c r="E56" s="58"/>
      <c r="F56" s="58"/>
      <c r="G56" s="58"/>
      <c r="H56" s="58"/>
      <c r="I56" s="58"/>
    </row>
    <row r="57" customFormat="false" ht="24" hidden="false" customHeight="true" outlineLevel="0" collapsed="false">
      <c r="B57" s="59" t="s">
        <v>197</v>
      </c>
      <c r="C57" s="60" t="n">
        <v>13</v>
      </c>
      <c r="D57" s="60"/>
      <c r="E57" s="60"/>
      <c r="F57" s="60"/>
      <c r="G57" s="60"/>
      <c r="H57" s="60"/>
      <c r="I57" s="60"/>
    </row>
    <row r="58" customFormat="false" ht="24" hidden="false" customHeight="true" outlineLevel="0" collapsed="false">
      <c r="B58" s="61" t="s">
        <v>198</v>
      </c>
      <c r="C58" s="62" t="n">
        <v>5</v>
      </c>
      <c r="D58" s="62"/>
      <c r="E58" s="62"/>
      <c r="F58" s="62"/>
      <c r="G58" s="62"/>
      <c r="H58" s="62"/>
      <c r="I58" s="62"/>
    </row>
    <row r="59" customFormat="false" ht="24" hidden="false" customHeight="true" outlineLevel="0" collapsed="false">
      <c r="B59" s="63" t="s">
        <v>199</v>
      </c>
      <c r="C59" s="64" t="n">
        <v>664</v>
      </c>
      <c r="D59" s="64"/>
      <c r="E59" s="64"/>
      <c r="F59" s="64"/>
      <c r="G59" s="64"/>
      <c r="H59" s="64"/>
      <c r="I59" s="64"/>
    </row>
    <row r="61" customFormat="false" ht="19.5" hidden="false" customHeight="true" outlineLevel="0" collapsed="false">
      <c r="B61" s="22" t="s">
        <v>200</v>
      </c>
      <c r="C61" s="22"/>
      <c r="D61" s="22"/>
      <c r="E61" s="22"/>
      <c r="F61" s="22"/>
      <c r="G61" s="22"/>
      <c r="H61" s="22"/>
      <c r="I61" s="22"/>
    </row>
  </sheetData>
  <mergeCells count="15">
    <mergeCell ref="B1:I1"/>
    <mergeCell ref="B2:I2"/>
    <mergeCell ref="B3:I3"/>
    <mergeCell ref="B5:I5"/>
    <mergeCell ref="B12:I12"/>
    <mergeCell ref="B20:I20"/>
    <mergeCell ref="B29:I29"/>
    <mergeCell ref="B38:I38"/>
    <mergeCell ref="B46:I46"/>
    <mergeCell ref="B55:I55"/>
    <mergeCell ref="C56:I56"/>
    <mergeCell ref="C57:I57"/>
    <mergeCell ref="C58:I58"/>
    <mergeCell ref="C59:I59"/>
    <mergeCell ref="B61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4"/>
  </cols>
  <sheetData>
    <row r="1" customFormat="false" ht="36" hidden="false" customHeight="true" outlineLevel="0" collapsed="false">
      <c r="B1" s="65" t="s">
        <v>201</v>
      </c>
      <c r="C1" s="65"/>
      <c r="D1" s="65"/>
      <c r="E1" s="65"/>
      <c r="F1" s="65"/>
      <c r="G1" s="65"/>
    </row>
    <row r="2" customFormat="false" ht="19.5" hidden="false" customHeight="true" outlineLevel="0" collapsed="false">
      <c r="B2" s="24" t="s">
        <v>202</v>
      </c>
      <c r="C2" s="24"/>
      <c r="D2" s="24"/>
      <c r="E2" s="24"/>
      <c r="F2" s="24"/>
      <c r="G2" s="24"/>
    </row>
    <row r="4" customFormat="false" ht="25.5" hidden="false" customHeight="true" outlineLevel="0" collapsed="false">
      <c r="B4" s="66" t="s">
        <v>203</v>
      </c>
      <c r="C4" s="66"/>
      <c r="D4" s="66"/>
      <c r="E4" s="66"/>
      <c r="F4" s="66"/>
      <c r="G4" s="66"/>
    </row>
    <row r="5" customFormat="false" ht="21.75" hidden="false" customHeight="true" outlineLevel="0" collapsed="false">
      <c r="B5" s="67" t="s">
        <v>204</v>
      </c>
      <c r="C5" s="67" t="s">
        <v>205</v>
      </c>
      <c r="D5" s="67" t="s">
        <v>206</v>
      </c>
      <c r="E5" s="67" t="s">
        <v>207</v>
      </c>
      <c r="F5" s="67" t="s">
        <v>208</v>
      </c>
      <c r="G5" s="67" t="s">
        <v>209</v>
      </c>
    </row>
    <row r="6" customFormat="false" ht="18" hidden="false" customHeight="true" outlineLevel="0" collapsed="false">
      <c r="B6" s="68" t="s">
        <v>210</v>
      </c>
      <c r="C6" s="8" t="n">
        <v>40000</v>
      </c>
      <c r="D6" s="69" t="n">
        <v>1</v>
      </c>
      <c r="E6" s="70" t="n">
        <f aca="false">C6*D6</f>
        <v>40000</v>
      </c>
      <c r="F6" s="71" t="s">
        <v>211</v>
      </c>
      <c r="G6" s="9" t="s">
        <v>212</v>
      </c>
    </row>
    <row r="7" customFormat="false" ht="18" hidden="false" customHeight="true" outlineLevel="0" collapsed="false">
      <c r="B7" s="68" t="s">
        <v>213</v>
      </c>
      <c r="C7" s="8" t="n">
        <v>35000</v>
      </c>
      <c r="D7" s="69" t="n">
        <v>1</v>
      </c>
      <c r="E7" s="70" t="n">
        <f aca="false">C7*D7</f>
        <v>35000</v>
      </c>
      <c r="F7" s="71" t="s">
        <v>211</v>
      </c>
      <c r="G7" s="9" t="s">
        <v>214</v>
      </c>
    </row>
    <row r="8" customFormat="false" ht="18" hidden="false" customHeight="true" outlineLevel="0" collapsed="false">
      <c r="B8" s="68" t="s">
        <v>215</v>
      </c>
      <c r="C8" s="8" t="n">
        <v>25000</v>
      </c>
      <c r="D8" s="69" t="n">
        <v>1</v>
      </c>
      <c r="E8" s="70" t="n">
        <f aca="false">C8*D8</f>
        <v>25000</v>
      </c>
      <c r="F8" s="71" t="s">
        <v>211</v>
      </c>
      <c r="G8" s="9" t="s">
        <v>216</v>
      </c>
    </row>
    <row r="9" customFormat="false" ht="18" hidden="false" customHeight="true" outlineLevel="0" collapsed="false">
      <c r="B9" s="68" t="s">
        <v>217</v>
      </c>
      <c r="C9" s="8" t="n">
        <v>20000</v>
      </c>
      <c r="D9" s="69" t="n">
        <v>1</v>
      </c>
      <c r="E9" s="70" t="n">
        <f aca="false">C9*D9</f>
        <v>20000</v>
      </c>
      <c r="F9" s="71" t="s">
        <v>218</v>
      </c>
      <c r="G9" s="9" t="s">
        <v>219</v>
      </c>
    </row>
    <row r="10" customFormat="false" ht="18" hidden="false" customHeight="true" outlineLevel="0" collapsed="false">
      <c r="B10" s="68" t="s">
        <v>220</v>
      </c>
      <c r="C10" s="8" t="n">
        <v>25000</v>
      </c>
      <c r="D10" s="69" t="n">
        <v>1</v>
      </c>
      <c r="E10" s="70" t="n">
        <f aca="false">C10*D10</f>
        <v>25000</v>
      </c>
      <c r="F10" s="71" t="s">
        <v>218</v>
      </c>
      <c r="G10" s="9" t="s">
        <v>221</v>
      </c>
    </row>
    <row r="11" customFormat="false" ht="18" hidden="false" customHeight="true" outlineLevel="0" collapsed="false">
      <c r="B11" s="68" t="s">
        <v>222</v>
      </c>
      <c r="C11" s="8" t="n">
        <v>75000</v>
      </c>
      <c r="D11" s="69" t="n">
        <v>1</v>
      </c>
      <c r="E11" s="70" t="n">
        <f aca="false">C11*D11</f>
        <v>75000</v>
      </c>
      <c r="F11" s="71" t="s">
        <v>211</v>
      </c>
      <c r="G11" s="9" t="s">
        <v>223</v>
      </c>
    </row>
    <row r="12" customFormat="false" ht="18" hidden="false" customHeight="true" outlineLevel="0" collapsed="false">
      <c r="B12" s="68" t="s">
        <v>224</v>
      </c>
      <c r="C12" s="8" t="n">
        <v>18000</v>
      </c>
      <c r="D12" s="69" t="n">
        <v>1</v>
      </c>
      <c r="E12" s="70" t="n">
        <f aca="false">C12*D12</f>
        <v>18000</v>
      </c>
      <c r="F12" s="71" t="s">
        <v>211</v>
      </c>
      <c r="G12" s="9" t="s">
        <v>225</v>
      </c>
    </row>
    <row r="13" customFormat="false" ht="18" hidden="false" customHeight="true" outlineLevel="0" collapsed="false">
      <c r="B13" s="68" t="s">
        <v>226</v>
      </c>
      <c r="C13" s="8" t="n">
        <v>30000</v>
      </c>
      <c r="D13" s="69" t="n">
        <v>1</v>
      </c>
      <c r="E13" s="70" t="n">
        <f aca="false">C13*D13</f>
        <v>30000</v>
      </c>
      <c r="F13" s="71" t="s">
        <v>211</v>
      </c>
      <c r="G13" s="9" t="s">
        <v>227</v>
      </c>
    </row>
    <row r="14" customFormat="false" ht="18" hidden="false" customHeight="true" outlineLevel="0" collapsed="false">
      <c r="B14" s="68" t="s">
        <v>228</v>
      </c>
      <c r="C14" s="8" t="n">
        <v>8000</v>
      </c>
      <c r="D14" s="69" t="n">
        <v>2</v>
      </c>
      <c r="E14" s="70" t="n">
        <f aca="false">C14*D14</f>
        <v>16000</v>
      </c>
      <c r="F14" s="71" t="s">
        <v>211</v>
      </c>
      <c r="G14" s="9" t="s">
        <v>229</v>
      </c>
    </row>
    <row r="15" customFormat="false" ht="18" hidden="false" customHeight="true" outlineLevel="0" collapsed="false">
      <c r="B15" s="68" t="s">
        <v>230</v>
      </c>
      <c r="C15" s="8" t="n">
        <v>18000</v>
      </c>
      <c r="D15" s="69" t="n">
        <v>1</v>
      </c>
      <c r="E15" s="70" t="n">
        <f aca="false">C15*D15</f>
        <v>18000</v>
      </c>
      <c r="F15" s="71" t="s">
        <v>211</v>
      </c>
      <c r="G15" s="9" t="s">
        <v>231</v>
      </c>
    </row>
    <row r="16" customFormat="false" ht="18" hidden="false" customHeight="true" outlineLevel="0" collapsed="false">
      <c r="B16" s="68" t="s">
        <v>232</v>
      </c>
      <c r="C16" s="8" t="n">
        <v>12000</v>
      </c>
      <c r="D16" s="69" t="n">
        <v>1</v>
      </c>
      <c r="E16" s="70" t="n">
        <f aca="false">C16*D16</f>
        <v>12000</v>
      </c>
      <c r="F16" s="71" t="s">
        <v>211</v>
      </c>
      <c r="G16" s="9" t="s">
        <v>233</v>
      </c>
    </row>
    <row r="17" customFormat="false" ht="21.75" hidden="false" customHeight="true" outlineLevel="0" collapsed="false">
      <c r="B17" s="59" t="s">
        <v>234</v>
      </c>
      <c r="C17" s="72"/>
      <c r="D17" s="72"/>
      <c r="E17" s="73" t="n">
        <f aca="false">SUM(E6:E16)</f>
        <v>314000</v>
      </c>
      <c r="F17" s="74"/>
      <c r="G17" s="74"/>
    </row>
    <row r="19" customFormat="false" ht="25.5" hidden="false" customHeight="true" outlineLevel="0" collapsed="false">
      <c r="B19" s="66" t="s">
        <v>235</v>
      </c>
      <c r="C19" s="66"/>
      <c r="D19" s="66"/>
      <c r="E19" s="66"/>
      <c r="F19" s="66"/>
      <c r="G19" s="66"/>
    </row>
    <row r="20" customFormat="false" ht="21.75" hidden="false" customHeight="true" outlineLevel="0" collapsed="false">
      <c r="B20" s="67" t="s">
        <v>204</v>
      </c>
      <c r="C20" s="67" t="s">
        <v>205</v>
      </c>
      <c r="D20" s="67" t="s">
        <v>206</v>
      </c>
      <c r="E20" s="67" t="s">
        <v>207</v>
      </c>
      <c r="F20" s="67" t="s">
        <v>208</v>
      </c>
      <c r="G20" s="67" t="s">
        <v>209</v>
      </c>
    </row>
    <row r="21" customFormat="false" ht="18" hidden="false" customHeight="true" outlineLevel="0" collapsed="false">
      <c r="B21" s="75" t="s">
        <v>236</v>
      </c>
      <c r="C21" s="76" t="n">
        <v>120000</v>
      </c>
      <c r="D21" s="77" t="n">
        <v>1</v>
      </c>
      <c r="E21" s="78" t="n">
        <f aca="false">C21*D21</f>
        <v>120000</v>
      </c>
      <c r="F21" s="79" t="s">
        <v>211</v>
      </c>
      <c r="G21" s="80" t="s">
        <v>237</v>
      </c>
    </row>
    <row r="22" customFormat="false" ht="18" hidden="false" customHeight="true" outlineLevel="0" collapsed="false">
      <c r="B22" s="75" t="s">
        <v>238</v>
      </c>
      <c r="C22" s="76" t="n">
        <v>95000</v>
      </c>
      <c r="D22" s="77" t="n">
        <v>1</v>
      </c>
      <c r="E22" s="78" t="n">
        <f aca="false">C22*D22</f>
        <v>95000</v>
      </c>
      <c r="F22" s="79" t="s">
        <v>218</v>
      </c>
      <c r="G22" s="80" t="s">
        <v>239</v>
      </c>
    </row>
    <row r="23" customFormat="false" ht="18" hidden="false" customHeight="true" outlineLevel="0" collapsed="false">
      <c r="B23" s="75" t="s">
        <v>240</v>
      </c>
      <c r="C23" s="76" t="n">
        <v>55000</v>
      </c>
      <c r="D23" s="77" t="n">
        <v>1</v>
      </c>
      <c r="E23" s="78" t="n">
        <f aca="false">C23*D23</f>
        <v>55000</v>
      </c>
      <c r="F23" s="79" t="s">
        <v>211</v>
      </c>
      <c r="G23" s="80" t="s">
        <v>241</v>
      </c>
    </row>
    <row r="24" customFormat="false" ht="18" hidden="false" customHeight="true" outlineLevel="0" collapsed="false">
      <c r="B24" s="75" t="s">
        <v>242</v>
      </c>
      <c r="C24" s="76" t="n">
        <v>45000</v>
      </c>
      <c r="D24" s="77" t="n">
        <v>1</v>
      </c>
      <c r="E24" s="78" t="n">
        <f aca="false">C24*D24</f>
        <v>45000</v>
      </c>
      <c r="F24" s="79" t="s">
        <v>218</v>
      </c>
      <c r="G24" s="80" t="s">
        <v>243</v>
      </c>
    </row>
    <row r="25" customFormat="false" ht="18" hidden="false" customHeight="true" outlineLevel="0" collapsed="false">
      <c r="B25" s="75" t="s">
        <v>244</v>
      </c>
      <c r="C25" s="76" t="n">
        <v>35000</v>
      </c>
      <c r="D25" s="77" t="n">
        <v>1</v>
      </c>
      <c r="E25" s="78" t="n">
        <f aca="false">C25*D25</f>
        <v>35000</v>
      </c>
      <c r="F25" s="79" t="s">
        <v>245</v>
      </c>
      <c r="G25" s="80" t="s">
        <v>246</v>
      </c>
    </row>
    <row r="26" customFormat="false" ht="18" hidden="false" customHeight="true" outlineLevel="0" collapsed="false">
      <c r="B26" s="75" t="s">
        <v>247</v>
      </c>
      <c r="C26" s="76" t="n">
        <v>35000</v>
      </c>
      <c r="D26" s="77" t="n">
        <v>1</v>
      </c>
      <c r="E26" s="78" t="n">
        <f aca="false">C26*D26</f>
        <v>35000</v>
      </c>
      <c r="F26" s="79" t="s">
        <v>211</v>
      </c>
      <c r="G26" s="80" t="s">
        <v>248</v>
      </c>
    </row>
    <row r="27" customFormat="false" ht="18" hidden="false" customHeight="true" outlineLevel="0" collapsed="false">
      <c r="B27" s="75" t="s">
        <v>249</v>
      </c>
      <c r="C27" s="76" t="n">
        <v>18000</v>
      </c>
      <c r="D27" s="77" t="n">
        <v>1</v>
      </c>
      <c r="E27" s="78" t="n">
        <f aca="false">C27*D27</f>
        <v>18000</v>
      </c>
      <c r="F27" s="79" t="s">
        <v>211</v>
      </c>
      <c r="G27" s="80" t="s">
        <v>250</v>
      </c>
    </row>
    <row r="28" customFormat="false" ht="18" hidden="false" customHeight="true" outlineLevel="0" collapsed="false">
      <c r="B28" s="75" t="s">
        <v>251</v>
      </c>
      <c r="C28" s="76" t="n">
        <v>22000</v>
      </c>
      <c r="D28" s="77" t="n">
        <v>1</v>
      </c>
      <c r="E28" s="78" t="n">
        <f aca="false">C28*D28</f>
        <v>22000</v>
      </c>
      <c r="F28" s="79" t="s">
        <v>218</v>
      </c>
      <c r="G28" s="80" t="s">
        <v>252</v>
      </c>
    </row>
    <row r="29" customFormat="false" ht="18" hidden="false" customHeight="true" outlineLevel="0" collapsed="false">
      <c r="B29" s="75" t="s">
        <v>253</v>
      </c>
      <c r="C29" s="76" t="n">
        <v>8000</v>
      </c>
      <c r="D29" s="77" t="n">
        <v>2</v>
      </c>
      <c r="E29" s="78" t="n">
        <f aca="false">C29*D29</f>
        <v>16000</v>
      </c>
      <c r="F29" s="79" t="s">
        <v>211</v>
      </c>
      <c r="G29" s="80" t="s">
        <v>254</v>
      </c>
    </row>
    <row r="30" customFormat="false" ht="21.75" hidden="false" customHeight="true" outlineLevel="0" collapsed="false">
      <c r="B30" s="59" t="s">
        <v>255</v>
      </c>
      <c r="C30" s="72"/>
      <c r="D30" s="72"/>
      <c r="E30" s="73" t="n">
        <f aca="false">SUM(E21:E29)</f>
        <v>441000</v>
      </c>
      <c r="F30" s="74"/>
      <c r="G30" s="74"/>
    </row>
    <row r="32" customFormat="false" ht="25.5" hidden="false" customHeight="true" outlineLevel="0" collapsed="false">
      <c r="B32" s="66" t="s">
        <v>256</v>
      </c>
      <c r="C32" s="66"/>
      <c r="D32" s="66"/>
      <c r="E32" s="66"/>
      <c r="F32" s="66"/>
      <c r="G32" s="66"/>
    </row>
    <row r="33" customFormat="false" ht="21.75" hidden="false" customHeight="true" outlineLevel="0" collapsed="false">
      <c r="B33" s="67" t="s">
        <v>204</v>
      </c>
      <c r="C33" s="67" t="s">
        <v>205</v>
      </c>
      <c r="D33" s="67" t="s">
        <v>206</v>
      </c>
      <c r="E33" s="67" t="s">
        <v>207</v>
      </c>
      <c r="F33" s="67" t="s">
        <v>208</v>
      </c>
      <c r="G33" s="67" t="s">
        <v>209</v>
      </c>
    </row>
    <row r="34" customFormat="false" ht="18" hidden="false" customHeight="true" outlineLevel="0" collapsed="false">
      <c r="B34" s="68" t="s">
        <v>257</v>
      </c>
      <c r="C34" s="8" t="n">
        <v>85000</v>
      </c>
      <c r="D34" s="69" t="n">
        <v>1</v>
      </c>
      <c r="E34" s="70" t="n">
        <f aca="false">C34*D34</f>
        <v>85000</v>
      </c>
      <c r="F34" s="71" t="s">
        <v>211</v>
      </c>
      <c r="G34" s="9" t="s">
        <v>258</v>
      </c>
    </row>
    <row r="35" customFormat="false" ht="18" hidden="false" customHeight="true" outlineLevel="0" collapsed="false">
      <c r="B35" s="68" t="s">
        <v>259</v>
      </c>
      <c r="C35" s="8" t="n">
        <v>70000</v>
      </c>
      <c r="D35" s="69" t="n">
        <v>1</v>
      </c>
      <c r="E35" s="70" t="n">
        <f aca="false">C35*D35</f>
        <v>70000</v>
      </c>
      <c r="F35" s="71" t="s">
        <v>211</v>
      </c>
      <c r="G35" s="9" t="s">
        <v>260</v>
      </c>
    </row>
    <row r="36" customFormat="false" ht="18" hidden="false" customHeight="true" outlineLevel="0" collapsed="false">
      <c r="B36" s="68" t="s">
        <v>261</v>
      </c>
      <c r="C36" s="8" t="n">
        <v>35000</v>
      </c>
      <c r="D36" s="69" t="n">
        <v>1</v>
      </c>
      <c r="E36" s="70" t="n">
        <f aca="false">C36*D36</f>
        <v>35000</v>
      </c>
      <c r="F36" s="71" t="s">
        <v>218</v>
      </c>
      <c r="G36" s="9" t="s">
        <v>262</v>
      </c>
    </row>
    <row r="37" customFormat="false" ht="18" hidden="false" customHeight="true" outlineLevel="0" collapsed="false">
      <c r="B37" s="68" t="s">
        <v>263</v>
      </c>
      <c r="C37" s="8" t="n">
        <v>28000</v>
      </c>
      <c r="D37" s="69" t="n">
        <v>1</v>
      </c>
      <c r="E37" s="70" t="n">
        <f aca="false">C37*D37</f>
        <v>28000</v>
      </c>
      <c r="F37" s="71" t="s">
        <v>211</v>
      </c>
      <c r="G37" s="9" t="s">
        <v>264</v>
      </c>
    </row>
    <row r="38" customFormat="false" ht="18" hidden="false" customHeight="true" outlineLevel="0" collapsed="false">
      <c r="B38" s="68" t="s">
        <v>265</v>
      </c>
      <c r="C38" s="8" t="n">
        <v>180000</v>
      </c>
      <c r="D38" s="69" t="n">
        <v>1</v>
      </c>
      <c r="E38" s="70" t="n">
        <f aca="false">C38*D38</f>
        <v>180000</v>
      </c>
      <c r="F38" s="71" t="s">
        <v>245</v>
      </c>
      <c r="G38" s="9" t="s">
        <v>266</v>
      </c>
    </row>
    <row r="39" customFormat="false" ht="18" hidden="false" customHeight="true" outlineLevel="0" collapsed="false">
      <c r="B39" s="68" t="s">
        <v>267</v>
      </c>
      <c r="C39" s="8" t="n">
        <v>35000</v>
      </c>
      <c r="D39" s="69" t="n">
        <v>1</v>
      </c>
      <c r="E39" s="70" t="n">
        <f aca="false">C39*D39</f>
        <v>35000</v>
      </c>
      <c r="F39" s="71" t="s">
        <v>218</v>
      </c>
      <c r="G39" s="9" t="s">
        <v>268</v>
      </c>
    </row>
    <row r="40" customFormat="false" ht="21.75" hidden="false" customHeight="true" outlineLevel="0" collapsed="false">
      <c r="B40" s="59" t="s">
        <v>269</v>
      </c>
      <c r="C40" s="72"/>
      <c r="D40" s="72"/>
      <c r="E40" s="73" t="n">
        <f aca="false">SUM(E34:E39)</f>
        <v>433000</v>
      </c>
      <c r="F40" s="74"/>
      <c r="G40" s="74"/>
    </row>
    <row r="42" customFormat="false" ht="25.5" hidden="false" customHeight="true" outlineLevel="0" collapsed="false">
      <c r="B42" s="66" t="s">
        <v>270</v>
      </c>
      <c r="C42" s="66"/>
      <c r="D42" s="66"/>
      <c r="E42" s="66"/>
      <c r="F42" s="66"/>
      <c r="G42" s="66"/>
    </row>
    <row r="43" customFormat="false" ht="21.75" hidden="false" customHeight="true" outlineLevel="0" collapsed="false">
      <c r="B43" s="67" t="s">
        <v>204</v>
      </c>
      <c r="C43" s="67" t="s">
        <v>205</v>
      </c>
      <c r="D43" s="67" t="s">
        <v>206</v>
      </c>
      <c r="E43" s="67" t="s">
        <v>207</v>
      </c>
      <c r="F43" s="67" t="s">
        <v>208</v>
      </c>
      <c r="G43" s="67" t="s">
        <v>209</v>
      </c>
    </row>
    <row r="44" customFormat="false" ht="18" hidden="false" customHeight="true" outlineLevel="0" collapsed="false">
      <c r="B44" s="75" t="s">
        <v>271</v>
      </c>
      <c r="C44" s="76" t="n">
        <v>32000</v>
      </c>
      <c r="D44" s="77" t="n">
        <v>2</v>
      </c>
      <c r="E44" s="78" t="n">
        <f aca="false">C44*D44</f>
        <v>64000</v>
      </c>
      <c r="F44" s="79" t="s">
        <v>211</v>
      </c>
      <c r="G44" s="80" t="s">
        <v>272</v>
      </c>
    </row>
    <row r="45" customFormat="false" ht="18" hidden="false" customHeight="true" outlineLevel="0" collapsed="false">
      <c r="B45" s="75" t="s">
        <v>273</v>
      </c>
      <c r="C45" s="76" t="n">
        <v>48000</v>
      </c>
      <c r="D45" s="77" t="n">
        <v>1</v>
      </c>
      <c r="E45" s="78" t="n">
        <f aca="false">C45*D45</f>
        <v>48000</v>
      </c>
      <c r="F45" s="79" t="s">
        <v>211</v>
      </c>
      <c r="G45" s="80" t="s">
        <v>274</v>
      </c>
    </row>
    <row r="46" customFormat="false" ht="18" hidden="false" customHeight="true" outlineLevel="0" collapsed="false">
      <c r="B46" s="75" t="s">
        <v>275</v>
      </c>
      <c r="C46" s="76" t="n">
        <v>16000</v>
      </c>
      <c r="D46" s="77" t="n">
        <v>2</v>
      </c>
      <c r="E46" s="78" t="n">
        <f aca="false">C46*D46</f>
        <v>32000</v>
      </c>
      <c r="F46" s="79" t="s">
        <v>211</v>
      </c>
      <c r="G46" s="80" t="s">
        <v>276</v>
      </c>
    </row>
    <row r="47" customFormat="false" ht="18" hidden="false" customHeight="true" outlineLevel="0" collapsed="false">
      <c r="B47" s="75" t="s">
        <v>277</v>
      </c>
      <c r="C47" s="76" t="n">
        <v>22000</v>
      </c>
      <c r="D47" s="77" t="n">
        <v>1</v>
      </c>
      <c r="E47" s="78" t="n">
        <f aca="false">C47*D47</f>
        <v>22000</v>
      </c>
      <c r="F47" s="79" t="s">
        <v>218</v>
      </c>
      <c r="G47" s="80" t="s">
        <v>278</v>
      </c>
    </row>
    <row r="48" customFormat="false" ht="18" hidden="false" customHeight="true" outlineLevel="0" collapsed="false">
      <c r="B48" s="75" t="s">
        <v>279</v>
      </c>
      <c r="C48" s="76" t="n">
        <v>30000</v>
      </c>
      <c r="D48" s="77" t="n">
        <v>1</v>
      </c>
      <c r="E48" s="78" t="n">
        <f aca="false">C48*D48</f>
        <v>30000</v>
      </c>
      <c r="F48" s="79" t="s">
        <v>211</v>
      </c>
      <c r="G48" s="80" t="s">
        <v>280</v>
      </c>
    </row>
    <row r="49" customFormat="false" ht="18" hidden="false" customHeight="true" outlineLevel="0" collapsed="false">
      <c r="B49" s="75" t="s">
        <v>281</v>
      </c>
      <c r="C49" s="76" t="n">
        <v>28000</v>
      </c>
      <c r="D49" s="77" t="n">
        <v>1</v>
      </c>
      <c r="E49" s="78" t="n">
        <f aca="false">C49*D49</f>
        <v>28000</v>
      </c>
      <c r="F49" s="79" t="s">
        <v>218</v>
      </c>
      <c r="G49" s="80" t="s">
        <v>282</v>
      </c>
    </row>
    <row r="50" customFormat="false" ht="18" hidden="false" customHeight="true" outlineLevel="0" collapsed="false">
      <c r="B50" s="75" t="s">
        <v>283</v>
      </c>
      <c r="C50" s="76" t="n">
        <v>18000</v>
      </c>
      <c r="D50" s="77" t="n">
        <v>1</v>
      </c>
      <c r="E50" s="78" t="n">
        <f aca="false">C50*D50</f>
        <v>18000</v>
      </c>
      <c r="F50" s="79" t="s">
        <v>218</v>
      </c>
      <c r="G50" s="80" t="s">
        <v>284</v>
      </c>
    </row>
    <row r="51" customFormat="false" ht="18" hidden="false" customHeight="true" outlineLevel="0" collapsed="false">
      <c r="B51" s="75" t="s">
        <v>285</v>
      </c>
      <c r="C51" s="76" t="n">
        <v>18000</v>
      </c>
      <c r="D51" s="77" t="n">
        <v>4</v>
      </c>
      <c r="E51" s="78" t="n">
        <f aca="false">C51*D51</f>
        <v>72000</v>
      </c>
      <c r="F51" s="79" t="s">
        <v>211</v>
      </c>
      <c r="G51" s="80" t="s">
        <v>286</v>
      </c>
    </row>
    <row r="52" customFormat="false" ht="18" hidden="false" customHeight="true" outlineLevel="0" collapsed="false">
      <c r="B52" s="75" t="s">
        <v>287</v>
      </c>
      <c r="C52" s="76" t="n">
        <v>8000</v>
      </c>
      <c r="D52" s="77" t="n">
        <v>1</v>
      </c>
      <c r="E52" s="78" t="n">
        <f aca="false">C52*D52</f>
        <v>8000</v>
      </c>
      <c r="F52" s="79" t="s">
        <v>211</v>
      </c>
      <c r="G52" s="80" t="s">
        <v>288</v>
      </c>
    </row>
    <row r="53" customFormat="false" ht="21.75" hidden="false" customHeight="true" outlineLevel="0" collapsed="false">
      <c r="B53" s="59" t="s">
        <v>289</v>
      </c>
      <c r="C53" s="72"/>
      <c r="D53" s="72"/>
      <c r="E53" s="73" t="n">
        <f aca="false">SUM(E44:E52)</f>
        <v>322000</v>
      </c>
      <c r="F53" s="74"/>
      <c r="G53" s="74"/>
    </row>
    <row r="55" customFormat="false" ht="25.5" hidden="false" customHeight="true" outlineLevel="0" collapsed="false">
      <c r="B55" s="66" t="s">
        <v>290</v>
      </c>
      <c r="C55" s="66"/>
      <c r="D55" s="66"/>
      <c r="E55" s="66"/>
      <c r="F55" s="66"/>
      <c r="G55" s="66"/>
    </row>
    <row r="56" customFormat="false" ht="21.75" hidden="false" customHeight="true" outlineLevel="0" collapsed="false">
      <c r="B56" s="67" t="s">
        <v>204</v>
      </c>
      <c r="C56" s="67" t="s">
        <v>205</v>
      </c>
      <c r="D56" s="67" t="s">
        <v>206</v>
      </c>
      <c r="E56" s="67" t="s">
        <v>207</v>
      </c>
      <c r="F56" s="67" t="s">
        <v>208</v>
      </c>
      <c r="G56" s="67" t="s">
        <v>209</v>
      </c>
    </row>
    <row r="57" customFormat="false" ht="18" hidden="false" customHeight="true" outlineLevel="0" collapsed="false">
      <c r="B57" s="68" t="s">
        <v>291</v>
      </c>
      <c r="C57" s="8" t="n">
        <v>22000</v>
      </c>
      <c r="D57" s="69" t="n">
        <v>1</v>
      </c>
      <c r="E57" s="70" t="n">
        <f aca="false">C57*D57</f>
        <v>22000</v>
      </c>
      <c r="F57" s="71" t="s">
        <v>211</v>
      </c>
      <c r="G57" s="9" t="s">
        <v>292</v>
      </c>
    </row>
    <row r="58" customFormat="false" ht="18" hidden="false" customHeight="true" outlineLevel="0" collapsed="false">
      <c r="B58" s="68" t="s">
        <v>293</v>
      </c>
      <c r="C58" s="8" t="n">
        <v>18000</v>
      </c>
      <c r="D58" s="69" t="n">
        <v>1</v>
      </c>
      <c r="E58" s="70" t="n">
        <f aca="false">C58*D58</f>
        <v>18000</v>
      </c>
      <c r="F58" s="71" t="s">
        <v>211</v>
      </c>
      <c r="G58" s="9" t="s">
        <v>294</v>
      </c>
    </row>
    <row r="59" customFormat="false" ht="18" hidden="false" customHeight="true" outlineLevel="0" collapsed="false">
      <c r="B59" s="68" t="s">
        <v>295</v>
      </c>
      <c r="C59" s="8" t="n">
        <v>12000</v>
      </c>
      <c r="D59" s="69" t="n">
        <v>1</v>
      </c>
      <c r="E59" s="70" t="n">
        <f aca="false">C59*D59</f>
        <v>12000</v>
      </c>
      <c r="F59" s="71" t="s">
        <v>211</v>
      </c>
      <c r="G59" s="9" t="s">
        <v>296</v>
      </c>
    </row>
    <row r="60" customFormat="false" ht="18" hidden="false" customHeight="true" outlineLevel="0" collapsed="false">
      <c r="B60" s="68" t="s">
        <v>297</v>
      </c>
      <c r="C60" s="8" t="n">
        <v>8000</v>
      </c>
      <c r="D60" s="69" t="n">
        <v>1</v>
      </c>
      <c r="E60" s="70" t="n">
        <f aca="false">C60*D60</f>
        <v>8000</v>
      </c>
      <c r="F60" s="71" t="s">
        <v>211</v>
      </c>
      <c r="G60" s="9" t="s">
        <v>298</v>
      </c>
    </row>
    <row r="61" customFormat="false" ht="18" hidden="false" customHeight="true" outlineLevel="0" collapsed="false">
      <c r="B61" s="68" t="s">
        <v>299</v>
      </c>
      <c r="C61" s="8" t="n">
        <v>6000</v>
      </c>
      <c r="D61" s="69" t="n">
        <v>1</v>
      </c>
      <c r="E61" s="70" t="n">
        <f aca="false">C61*D61</f>
        <v>6000</v>
      </c>
      <c r="F61" s="71" t="s">
        <v>211</v>
      </c>
      <c r="G61" s="9" t="s">
        <v>300</v>
      </c>
    </row>
    <row r="62" customFormat="false" ht="18" hidden="false" customHeight="true" outlineLevel="0" collapsed="false">
      <c r="B62" s="68" t="s">
        <v>301</v>
      </c>
      <c r="C62" s="8" t="n">
        <v>8000</v>
      </c>
      <c r="D62" s="69" t="n">
        <v>1</v>
      </c>
      <c r="E62" s="70" t="n">
        <f aca="false">C62*D62</f>
        <v>8000</v>
      </c>
      <c r="F62" s="71" t="s">
        <v>211</v>
      </c>
      <c r="G62" s="9" t="s">
        <v>302</v>
      </c>
    </row>
    <row r="63" customFormat="false" ht="18" hidden="false" customHeight="true" outlineLevel="0" collapsed="false">
      <c r="B63" s="68" t="s">
        <v>303</v>
      </c>
      <c r="C63" s="8" t="n">
        <v>4000</v>
      </c>
      <c r="D63" s="69" t="n">
        <v>1</v>
      </c>
      <c r="E63" s="70" t="n">
        <f aca="false">C63*D63</f>
        <v>4000</v>
      </c>
      <c r="F63" s="71" t="s">
        <v>211</v>
      </c>
      <c r="G63" s="9" t="s">
        <v>304</v>
      </c>
    </row>
    <row r="64" customFormat="false" ht="18" hidden="false" customHeight="true" outlineLevel="0" collapsed="false">
      <c r="B64" s="68" t="s">
        <v>305</v>
      </c>
      <c r="C64" s="8" t="n">
        <v>3500</v>
      </c>
      <c r="D64" s="69" t="n">
        <v>4</v>
      </c>
      <c r="E64" s="70" t="n">
        <f aca="false">C64*D64</f>
        <v>14000</v>
      </c>
      <c r="F64" s="71" t="s">
        <v>211</v>
      </c>
      <c r="G64" s="9" t="s">
        <v>306</v>
      </c>
    </row>
    <row r="65" customFormat="false" ht="18" hidden="false" customHeight="true" outlineLevel="0" collapsed="false">
      <c r="B65" s="68" t="s">
        <v>307</v>
      </c>
      <c r="C65" s="8" t="n">
        <v>8000</v>
      </c>
      <c r="D65" s="69" t="n">
        <v>1</v>
      </c>
      <c r="E65" s="70" t="n">
        <f aca="false">C65*D65</f>
        <v>8000</v>
      </c>
      <c r="F65" s="71" t="s">
        <v>211</v>
      </c>
      <c r="G65" s="9" t="s">
        <v>308</v>
      </c>
    </row>
    <row r="66" customFormat="false" ht="18" hidden="false" customHeight="true" outlineLevel="0" collapsed="false">
      <c r="B66" s="68" t="s">
        <v>309</v>
      </c>
      <c r="C66" s="8" t="n">
        <v>12000</v>
      </c>
      <c r="D66" s="69" t="n">
        <v>2</v>
      </c>
      <c r="E66" s="70" t="n">
        <f aca="false">C66*D66</f>
        <v>24000</v>
      </c>
      <c r="F66" s="71" t="s">
        <v>211</v>
      </c>
      <c r="G66" s="9" t="s">
        <v>310</v>
      </c>
    </row>
    <row r="67" customFormat="false" ht="18" hidden="false" customHeight="true" outlineLevel="0" collapsed="false">
      <c r="B67" s="68" t="s">
        <v>311</v>
      </c>
      <c r="C67" s="8" t="n">
        <v>4000</v>
      </c>
      <c r="D67" s="69" t="n">
        <v>1</v>
      </c>
      <c r="E67" s="70" t="n">
        <f aca="false">C67*D67</f>
        <v>4000</v>
      </c>
      <c r="F67" s="71" t="s">
        <v>211</v>
      </c>
      <c r="G67" s="9" t="s">
        <v>312</v>
      </c>
    </row>
    <row r="68" customFormat="false" ht="18" hidden="false" customHeight="true" outlineLevel="0" collapsed="false">
      <c r="B68" s="68" t="s">
        <v>313</v>
      </c>
      <c r="C68" s="8" t="n">
        <v>14000</v>
      </c>
      <c r="D68" s="69" t="n">
        <v>1</v>
      </c>
      <c r="E68" s="70" t="n">
        <f aca="false">C68*D68</f>
        <v>14000</v>
      </c>
      <c r="F68" s="71" t="s">
        <v>218</v>
      </c>
      <c r="G68" s="9" t="s">
        <v>314</v>
      </c>
    </row>
    <row r="69" customFormat="false" ht="18" hidden="false" customHeight="true" outlineLevel="0" collapsed="false">
      <c r="B69" s="68" t="s">
        <v>315</v>
      </c>
      <c r="C69" s="8" t="n">
        <v>5000</v>
      </c>
      <c r="D69" s="69" t="n">
        <v>1</v>
      </c>
      <c r="E69" s="70" t="n">
        <f aca="false">C69*D69</f>
        <v>5000</v>
      </c>
      <c r="F69" s="71" t="s">
        <v>211</v>
      </c>
      <c r="G69" s="9" t="s">
        <v>316</v>
      </c>
    </row>
    <row r="70" customFormat="false" ht="18" hidden="false" customHeight="true" outlineLevel="0" collapsed="false">
      <c r="B70" s="68" t="s">
        <v>317</v>
      </c>
      <c r="C70" s="8" t="n">
        <v>6000</v>
      </c>
      <c r="D70" s="69" t="n">
        <v>1</v>
      </c>
      <c r="E70" s="70" t="n">
        <f aca="false">C70*D70</f>
        <v>6000</v>
      </c>
      <c r="F70" s="71" t="s">
        <v>211</v>
      </c>
      <c r="G70" s="9" t="s">
        <v>318</v>
      </c>
    </row>
    <row r="71" customFormat="false" ht="21.75" hidden="false" customHeight="true" outlineLevel="0" collapsed="false">
      <c r="B71" s="59" t="s">
        <v>319</v>
      </c>
      <c r="C71" s="72"/>
      <c r="D71" s="72"/>
      <c r="E71" s="73" t="n">
        <f aca="false">SUM(E57:E70)</f>
        <v>153000</v>
      </c>
      <c r="F71" s="74"/>
      <c r="G71" s="74"/>
    </row>
    <row r="73" customFormat="false" ht="25.5" hidden="false" customHeight="true" outlineLevel="0" collapsed="false">
      <c r="B73" s="66" t="s">
        <v>320</v>
      </c>
      <c r="C73" s="66"/>
      <c r="D73" s="66"/>
      <c r="E73" s="66"/>
      <c r="F73" s="66"/>
      <c r="G73" s="66"/>
    </row>
    <row r="74" customFormat="false" ht="21.75" hidden="false" customHeight="true" outlineLevel="0" collapsed="false">
      <c r="B74" s="67" t="s">
        <v>204</v>
      </c>
      <c r="C74" s="67" t="s">
        <v>205</v>
      </c>
      <c r="D74" s="67" t="s">
        <v>206</v>
      </c>
      <c r="E74" s="67" t="s">
        <v>207</v>
      </c>
      <c r="F74" s="67" t="s">
        <v>208</v>
      </c>
      <c r="G74" s="67" t="s">
        <v>209</v>
      </c>
    </row>
    <row r="75" customFormat="false" ht="18" hidden="false" customHeight="true" outlineLevel="0" collapsed="false">
      <c r="B75" s="75" t="s">
        <v>321</v>
      </c>
      <c r="C75" s="76" t="n">
        <v>65000</v>
      </c>
      <c r="D75" s="77" t="n">
        <v>1</v>
      </c>
      <c r="E75" s="78" t="n">
        <f aca="false">C75*D75</f>
        <v>65000</v>
      </c>
      <c r="F75" s="79" t="s">
        <v>211</v>
      </c>
      <c r="G75" s="80" t="s">
        <v>322</v>
      </c>
    </row>
    <row r="76" customFormat="false" ht="18" hidden="false" customHeight="true" outlineLevel="0" collapsed="false">
      <c r="B76" s="75" t="s">
        <v>323</v>
      </c>
      <c r="C76" s="76" t="n">
        <v>3000</v>
      </c>
      <c r="D76" s="77" t="n">
        <v>4</v>
      </c>
      <c r="E76" s="78" t="n">
        <f aca="false">C76*D76</f>
        <v>12000</v>
      </c>
      <c r="F76" s="79" t="s">
        <v>211</v>
      </c>
      <c r="G76" s="80" t="s">
        <v>324</v>
      </c>
    </row>
    <row r="77" customFormat="false" ht="18" hidden="false" customHeight="true" outlineLevel="0" collapsed="false">
      <c r="B77" s="75" t="s">
        <v>325</v>
      </c>
      <c r="C77" s="76" t="n">
        <v>3500</v>
      </c>
      <c r="D77" s="77" t="n">
        <v>1</v>
      </c>
      <c r="E77" s="78" t="n">
        <f aca="false">C77*D77</f>
        <v>3500</v>
      </c>
      <c r="F77" s="79" t="s">
        <v>211</v>
      </c>
      <c r="G77" s="80" t="s">
        <v>326</v>
      </c>
    </row>
    <row r="78" customFormat="false" ht="18" hidden="false" customHeight="true" outlineLevel="0" collapsed="false">
      <c r="B78" s="75" t="s">
        <v>327</v>
      </c>
      <c r="C78" s="76" t="n">
        <v>3500</v>
      </c>
      <c r="D78" s="77" t="n">
        <v>1</v>
      </c>
      <c r="E78" s="78" t="n">
        <f aca="false">C78*D78</f>
        <v>3500</v>
      </c>
      <c r="F78" s="79" t="s">
        <v>211</v>
      </c>
      <c r="G78" s="80" t="s">
        <v>328</v>
      </c>
    </row>
    <row r="79" customFormat="false" ht="18" hidden="false" customHeight="true" outlineLevel="0" collapsed="false">
      <c r="B79" s="75" t="s">
        <v>329</v>
      </c>
      <c r="C79" s="76" t="n">
        <v>6000</v>
      </c>
      <c r="D79" s="77" t="n">
        <v>1</v>
      </c>
      <c r="E79" s="78" t="n">
        <f aca="false">C79*D79</f>
        <v>6000</v>
      </c>
      <c r="F79" s="79" t="s">
        <v>211</v>
      </c>
      <c r="G79" s="80" t="s">
        <v>330</v>
      </c>
    </row>
    <row r="80" customFormat="false" ht="18" hidden="false" customHeight="true" outlineLevel="0" collapsed="false">
      <c r="B80" s="75" t="s">
        <v>331</v>
      </c>
      <c r="C80" s="76" t="n">
        <v>5000</v>
      </c>
      <c r="D80" s="77" t="n">
        <v>1</v>
      </c>
      <c r="E80" s="78" t="n">
        <f aca="false">C80*D80</f>
        <v>5000</v>
      </c>
      <c r="F80" s="79" t="s">
        <v>211</v>
      </c>
      <c r="G80" s="80" t="s">
        <v>332</v>
      </c>
    </row>
    <row r="81" customFormat="false" ht="18" hidden="false" customHeight="true" outlineLevel="0" collapsed="false">
      <c r="B81" s="75" t="s">
        <v>333</v>
      </c>
      <c r="C81" s="76" t="n">
        <v>15000</v>
      </c>
      <c r="D81" s="77" t="n">
        <v>1</v>
      </c>
      <c r="E81" s="78" t="n">
        <f aca="false">C81*D81</f>
        <v>15000</v>
      </c>
      <c r="F81" s="79" t="s">
        <v>218</v>
      </c>
      <c r="G81" s="80" t="s">
        <v>334</v>
      </c>
    </row>
    <row r="82" customFormat="false" ht="21.75" hidden="false" customHeight="true" outlineLevel="0" collapsed="false">
      <c r="B82" s="59" t="s">
        <v>335</v>
      </c>
      <c r="C82" s="72"/>
      <c r="D82" s="72"/>
      <c r="E82" s="73" t="n">
        <f aca="false">SUM(E75:E81)</f>
        <v>110000</v>
      </c>
      <c r="F82" s="74"/>
      <c r="G82" s="74"/>
    </row>
    <row r="84" customFormat="false" ht="30" hidden="false" customHeight="true" outlineLevel="0" collapsed="false">
      <c r="B84" s="81" t="s">
        <v>336</v>
      </c>
      <c r="C84" s="81"/>
      <c r="D84" s="81"/>
      <c r="E84" s="82" t="n">
        <f aca="false">SUM(E6:E81)</f>
        <v>3436000</v>
      </c>
      <c r="F84" s="83"/>
      <c r="G84" s="83"/>
    </row>
  </sheetData>
  <mergeCells count="15">
    <mergeCell ref="B1:G1"/>
    <mergeCell ref="B2:G2"/>
    <mergeCell ref="B4:G4"/>
    <mergeCell ref="C17:D17"/>
    <mergeCell ref="B19:G19"/>
    <mergeCell ref="C30:D30"/>
    <mergeCell ref="B32:G32"/>
    <mergeCell ref="C40:D40"/>
    <mergeCell ref="B42:G42"/>
    <mergeCell ref="C53:D53"/>
    <mergeCell ref="B55:G55"/>
    <mergeCell ref="C71:D71"/>
    <mergeCell ref="B73:G73"/>
    <mergeCell ref="C82:D82"/>
    <mergeCell ref="B84:D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4"/>
  </cols>
  <sheetData>
    <row r="1" customFormat="false" ht="36" hidden="false" customHeight="true" outlineLevel="0" collapsed="false">
      <c r="B1" s="84" t="s">
        <v>337</v>
      </c>
      <c r="C1" s="84"/>
      <c r="D1" s="84"/>
      <c r="E1" s="84"/>
      <c r="F1" s="84"/>
      <c r="G1" s="84"/>
    </row>
    <row r="2" customFormat="false" ht="19.5" hidden="false" customHeight="true" outlineLevel="0" collapsed="false">
      <c r="B2" s="24" t="s">
        <v>338</v>
      </c>
      <c r="C2" s="24"/>
      <c r="D2" s="24"/>
      <c r="E2" s="24"/>
      <c r="F2" s="24"/>
      <c r="G2" s="24"/>
    </row>
    <row r="4" customFormat="false" ht="25.5" hidden="false" customHeight="true" outlineLevel="0" collapsed="false">
      <c r="B4" s="66" t="s">
        <v>339</v>
      </c>
      <c r="C4" s="66"/>
      <c r="D4" s="66"/>
      <c r="E4" s="66"/>
      <c r="F4" s="66"/>
      <c r="G4" s="66"/>
    </row>
    <row r="5" customFormat="false" ht="21.75" hidden="false" customHeight="true" outlineLevel="0" collapsed="false">
      <c r="B5" s="67" t="s">
        <v>204</v>
      </c>
      <c r="C5" s="67" t="s">
        <v>205</v>
      </c>
      <c r="D5" s="67" t="s">
        <v>206</v>
      </c>
      <c r="E5" s="67" t="s">
        <v>207</v>
      </c>
      <c r="F5" s="67" t="s">
        <v>208</v>
      </c>
      <c r="G5" s="67" t="s">
        <v>209</v>
      </c>
    </row>
    <row r="6" customFormat="false" ht="18" hidden="false" customHeight="true" outlineLevel="0" collapsed="false">
      <c r="B6" s="68" t="s">
        <v>210</v>
      </c>
      <c r="C6" s="8" t="n">
        <v>35000</v>
      </c>
      <c r="D6" s="69" t="n">
        <v>1</v>
      </c>
      <c r="E6" s="70" t="n">
        <f aca="false">C6*D6</f>
        <v>35000</v>
      </c>
      <c r="F6" s="71" t="s">
        <v>211</v>
      </c>
      <c r="G6" s="9" t="s">
        <v>340</v>
      </c>
    </row>
    <row r="7" customFormat="false" ht="18" hidden="false" customHeight="true" outlineLevel="0" collapsed="false">
      <c r="B7" s="68" t="s">
        <v>341</v>
      </c>
      <c r="C7" s="8" t="n">
        <v>65000</v>
      </c>
      <c r="D7" s="69" t="n">
        <v>1</v>
      </c>
      <c r="E7" s="70" t="n">
        <f aca="false">C7*D7</f>
        <v>65000</v>
      </c>
      <c r="F7" s="71" t="s">
        <v>211</v>
      </c>
      <c r="G7" s="9" t="s">
        <v>342</v>
      </c>
    </row>
    <row r="8" customFormat="false" ht="18" hidden="false" customHeight="true" outlineLevel="0" collapsed="false">
      <c r="B8" s="68" t="s">
        <v>343</v>
      </c>
      <c r="C8" s="8" t="n">
        <v>20000</v>
      </c>
      <c r="D8" s="69" t="n">
        <v>1</v>
      </c>
      <c r="E8" s="70" t="n">
        <f aca="false">C8*D8</f>
        <v>20000</v>
      </c>
      <c r="F8" s="71" t="s">
        <v>211</v>
      </c>
      <c r="G8" s="9" t="s">
        <v>344</v>
      </c>
    </row>
    <row r="9" customFormat="false" ht="18" hidden="false" customHeight="true" outlineLevel="0" collapsed="false">
      <c r="B9" s="68" t="s">
        <v>345</v>
      </c>
      <c r="C9" s="8" t="n">
        <v>15000</v>
      </c>
      <c r="D9" s="69" t="n">
        <v>1</v>
      </c>
      <c r="E9" s="70" t="n">
        <f aca="false">C9*D9</f>
        <v>15000</v>
      </c>
      <c r="F9" s="71" t="s">
        <v>218</v>
      </c>
      <c r="G9" s="9" t="s">
        <v>346</v>
      </c>
    </row>
    <row r="10" customFormat="false" ht="18" hidden="false" customHeight="true" outlineLevel="0" collapsed="false">
      <c r="B10" s="68" t="s">
        <v>347</v>
      </c>
      <c r="C10" s="8" t="n">
        <v>18000</v>
      </c>
      <c r="D10" s="69" t="n">
        <v>1</v>
      </c>
      <c r="E10" s="70" t="n">
        <f aca="false">C10*D10</f>
        <v>18000</v>
      </c>
      <c r="F10" s="71" t="s">
        <v>211</v>
      </c>
      <c r="G10" s="9" t="s">
        <v>348</v>
      </c>
    </row>
    <row r="11" customFormat="false" ht="18" hidden="false" customHeight="true" outlineLevel="0" collapsed="false">
      <c r="B11" s="68" t="s">
        <v>349</v>
      </c>
      <c r="C11" s="8" t="n">
        <v>8000</v>
      </c>
      <c r="D11" s="69" t="n">
        <v>1</v>
      </c>
      <c r="E11" s="70" t="n">
        <f aca="false">C11*D11</f>
        <v>8000</v>
      </c>
      <c r="F11" s="71" t="s">
        <v>211</v>
      </c>
      <c r="G11" s="9" t="s">
        <v>350</v>
      </c>
    </row>
    <row r="12" customFormat="false" ht="18" hidden="false" customHeight="true" outlineLevel="0" collapsed="false">
      <c r="B12" s="68" t="s">
        <v>351</v>
      </c>
      <c r="C12" s="8" t="n">
        <v>12000</v>
      </c>
      <c r="D12" s="69" t="n">
        <v>1</v>
      </c>
      <c r="E12" s="70" t="n">
        <f aca="false">C12*D12</f>
        <v>12000</v>
      </c>
      <c r="F12" s="71" t="s">
        <v>218</v>
      </c>
      <c r="G12" s="9" t="s">
        <v>352</v>
      </c>
    </row>
    <row r="13" customFormat="false" ht="18" hidden="false" customHeight="true" outlineLevel="0" collapsed="false">
      <c r="B13" s="68" t="s">
        <v>353</v>
      </c>
      <c r="C13" s="8" t="n">
        <v>45000</v>
      </c>
      <c r="D13" s="69" t="n">
        <v>1</v>
      </c>
      <c r="E13" s="70" t="n">
        <f aca="false">C13*D13</f>
        <v>45000</v>
      </c>
      <c r="F13" s="71" t="s">
        <v>218</v>
      </c>
      <c r="G13" s="9" t="s">
        <v>354</v>
      </c>
    </row>
    <row r="14" customFormat="false" ht="18" hidden="false" customHeight="true" outlineLevel="0" collapsed="false">
      <c r="B14" s="68" t="s">
        <v>355</v>
      </c>
      <c r="C14" s="8" t="n">
        <v>45000</v>
      </c>
      <c r="D14" s="69" t="n">
        <v>1</v>
      </c>
      <c r="E14" s="70" t="n">
        <f aca="false">C14*D14</f>
        <v>45000</v>
      </c>
      <c r="F14" s="71" t="s">
        <v>211</v>
      </c>
      <c r="G14" s="9" t="s">
        <v>356</v>
      </c>
    </row>
    <row r="15" customFormat="false" ht="18" hidden="false" customHeight="true" outlineLevel="0" collapsed="false">
      <c r="B15" s="68" t="s">
        <v>357</v>
      </c>
      <c r="C15" s="8" t="n">
        <v>22000</v>
      </c>
      <c r="D15" s="69" t="n">
        <v>2</v>
      </c>
      <c r="E15" s="70" t="n">
        <f aca="false">C15*D15</f>
        <v>44000</v>
      </c>
      <c r="F15" s="71" t="s">
        <v>211</v>
      </c>
      <c r="G15" s="9" t="s">
        <v>358</v>
      </c>
    </row>
    <row r="16" customFormat="false" ht="18" hidden="false" customHeight="true" outlineLevel="0" collapsed="false">
      <c r="B16" s="68" t="s">
        <v>359</v>
      </c>
      <c r="C16" s="8" t="n">
        <v>12000</v>
      </c>
      <c r="D16" s="69" t="n">
        <v>3</v>
      </c>
      <c r="E16" s="70" t="n">
        <f aca="false">C16*D16</f>
        <v>36000</v>
      </c>
      <c r="F16" s="71" t="s">
        <v>218</v>
      </c>
      <c r="G16" s="9" t="s">
        <v>360</v>
      </c>
    </row>
    <row r="17" customFormat="false" ht="18" hidden="false" customHeight="true" outlineLevel="0" collapsed="false">
      <c r="B17" s="68" t="s">
        <v>361</v>
      </c>
      <c r="C17" s="8" t="n">
        <v>28000</v>
      </c>
      <c r="D17" s="69" t="n">
        <v>1</v>
      </c>
      <c r="E17" s="70" t="n">
        <f aca="false">C17*D17</f>
        <v>28000</v>
      </c>
      <c r="F17" s="71" t="s">
        <v>211</v>
      </c>
      <c r="G17" s="9" t="s">
        <v>362</v>
      </c>
    </row>
    <row r="18" customFormat="false" ht="18" hidden="false" customHeight="true" outlineLevel="0" collapsed="false">
      <c r="B18" s="68" t="s">
        <v>363</v>
      </c>
      <c r="C18" s="8" t="n">
        <v>35000</v>
      </c>
      <c r="D18" s="69" t="n">
        <v>1</v>
      </c>
      <c r="E18" s="70" t="n">
        <f aca="false">C18*D18</f>
        <v>35000</v>
      </c>
      <c r="F18" s="71" t="s">
        <v>218</v>
      </c>
      <c r="G18" s="9" t="s">
        <v>364</v>
      </c>
    </row>
    <row r="19" customFormat="false" ht="21.75" hidden="false" customHeight="true" outlineLevel="0" collapsed="false">
      <c r="B19" s="59" t="s">
        <v>365</v>
      </c>
      <c r="C19" s="72"/>
      <c r="D19" s="72"/>
      <c r="E19" s="73" t="n">
        <f aca="false">SUM(E6:E18)</f>
        <v>406000</v>
      </c>
      <c r="F19" s="74"/>
      <c r="G19" s="74"/>
    </row>
    <row r="21" customFormat="false" ht="25.5" hidden="false" customHeight="true" outlineLevel="0" collapsed="false">
      <c r="B21" s="66" t="s">
        <v>366</v>
      </c>
      <c r="C21" s="66"/>
      <c r="D21" s="66"/>
      <c r="E21" s="66"/>
      <c r="F21" s="66"/>
      <c r="G21" s="66"/>
    </row>
    <row r="22" customFormat="false" ht="21.75" hidden="false" customHeight="true" outlineLevel="0" collapsed="false">
      <c r="B22" s="67" t="s">
        <v>204</v>
      </c>
      <c r="C22" s="67" t="s">
        <v>205</v>
      </c>
      <c r="D22" s="67" t="s">
        <v>206</v>
      </c>
      <c r="E22" s="67" t="s">
        <v>207</v>
      </c>
      <c r="F22" s="67" t="s">
        <v>208</v>
      </c>
      <c r="G22" s="67" t="s">
        <v>209</v>
      </c>
    </row>
    <row r="23" customFormat="false" ht="18" hidden="false" customHeight="true" outlineLevel="0" collapsed="false">
      <c r="B23" s="75" t="s">
        <v>367</v>
      </c>
      <c r="C23" s="76" t="n">
        <v>42000</v>
      </c>
      <c r="D23" s="77" t="n">
        <v>1</v>
      </c>
      <c r="E23" s="78" t="n">
        <f aca="false">C23*D23</f>
        <v>42000</v>
      </c>
      <c r="F23" s="79" t="s">
        <v>211</v>
      </c>
      <c r="G23" s="80" t="s">
        <v>368</v>
      </c>
    </row>
    <row r="24" customFormat="false" ht="18" hidden="false" customHeight="true" outlineLevel="0" collapsed="false">
      <c r="B24" s="75" t="s">
        <v>369</v>
      </c>
      <c r="C24" s="76" t="n">
        <v>55000</v>
      </c>
      <c r="D24" s="77" t="n">
        <v>1</v>
      </c>
      <c r="E24" s="78" t="n">
        <f aca="false">C24*D24</f>
        <v>55000</v>
      </c>
      <c r="F24" s="79" t="s">
        <v>211</v>
      </c>
      <c r="G24" s="80" t="s">
        <v>370</v>
      </c>
    </row>
    <row r="25" customFormat="false" ht="18" hidden="false" customHeight="true" outlineLevel="0" collapsed="false">
      <c r="B25" s="75" t="s">
        <v>371</v>
      </c>
      <c r="C25" s="76" t="n">
        <v>12000</v>
      </c>
      <c r="D25" s="77" t="n">
        <v>2</v>
      </c>
      <c r="E25" s="78" t="n">
        <f aca="false">C25*D25</f>
        <v>24000</v>
      </c>
      <c r="F25" s="79" t="s">
        <v>211</v>
      </c>
      <c r="G25" s="80" t="s">
        <v>372</v>
      </c>
    </row>
    <row r="26" customFormat="false" ht="18" hidden="false" customHeight="true" outlineLevel="0" collapsed="false">
      <c r="B26" s="75" t="s">
        <v>373</v>
      </c>
      <c r="C26" s="76" t="n">
        <v>15000</v>
      </c>
      <c r="D26" s="77" t="n">
        <v>1</v>
      </c>
      <c r="E26" s="78" t="n">
        <f aca="false">C26*D26</f>
        <v>15000</v>
      </c>
      <c r="F26" s="79" t="s">
        <v>211</v>
      </c>
      <c r="G26" s="80" t="s">
        <v>374</v>
      </c>
    </row>
    <row r="27" customFormat="false" ht="18" hidden="false" customHeight="true" outlineLevel="0" collapsed="false">
      <c r="B27" s="75" t="s">
        <v>375</v>
      </c>
      <c r="C27" s="76" t="n">
        <v>6000</v>
      </c>
      <c r="D27" s="77" t="n">
        <v>1</v>
      </c>
      <c r="E27" s="78" t="n">
        <f aca="false">C27*D27</f>
        <v>6000</v>
      </c>
      <c r="F27" s="79" t="s">
        <v>211</v>
      </c>
      <c r="G27" s="80" t="s">
        <v>376</v>
      </c>
    </row>
    <row r="28" customFormat="false" ht="18" hidden="false" customHeight="true" outlineLevel="0" collapsed="false">
      <c r="B28" s="75" t="s">
        <v>377</v>
      </c>
      <c r="C28" s="76" t="n">
        <v>2500</v>
      </c>
      <c r="D28" s="77" t="n">
        <v>2</v>
      </c>
      <c r="E28" s="78" t="n">
        <f aca="false">C28*D28</f>
        <v>5000</v>
      </c>
      <c r="F28" s="79" t="s">
        <v>211</v>
      </c>
      <c r="G28" s="80" t="s">
        <v>378</v>
      </c>
    </row>
    <row r="29" customFormat="false" ht="18" hidden="false" customHeight="true" outlineLevel="0" collapsed="false">
      <c r="B29" s="75" t="s">
        <v>379</v>
      </c>
      <c r="C29" s="76" t="n">
        <v>7000</v>
      </c>
      <c r="D29" s="77" t="n">
        <v>1</v>
      </c>
      <c r="E29" s="78" t="n">
        <f aca="false">C29*D29</f>
        <v>7000</v>
      </c>
      <c r="F29" s="79" t="s">
        <v>218</v>
      </c>
      <c r="G29" s="80" t="s">
        <v>380</v>
      </c>
    </row>
    <row r="30" customFormat="false" ht="21.75" hidden="false" customHeight="true" outlineLevel="0" collapsed="false">
      <c r="B30" s="59" t="s">
        <v>381</v>
      </c>
      <c r="C30" s="72"/>
      <c r="D30" s="72"/>
      <c r="E30" s="73" t="n">
        <f aca="false">SUM(E23:E29)</f>
        <v>154000</v>
      </c>
      <c r="F30" s="74"/>
      <c r="G30" s="74"/>
    </row>
    <row r="32" customFormat="false" ht="25.5" hidden="false" customHeight="true" outlineLevel="0" collapsed="false">
      <c r="B32" s="66" t="s">
        <v>382</v>
      </c>
      <c r="C32" s="66"/>
      <c r="D32" s="66"/>
      <c r="E32" s="66"/>
      <c r="F32" s="66"/>
      <c r="G32" s="66"/>
    </row>
    <row r="33" customFormat="false" ht="21.75" hidden="false" customHeight="true" outlineLevel="0" collapsed="false">
      <c r="B33" s="67" t="s">
        <v>204</v>
      </c>
      <c r="C33" s="67" t="s">
        <v>205</v>
      </c>
      <c r="D33" s="67" t="s">
        <v>206</v>
      </c>
      <c r="E33" s="67" t="s">
        <v>207</v>
      </c>
      <c r="F33" s="67" t="s">
        <v>208</v>
      </c>
      <c r="G33" s="67" t="s">
        <v>209</v>
      </c>
    </row>
    <row r="34" customFormat="false" ht="18" hidden="false" customHeight="true" outlineLevel="0" collapsed="false">
      <c r="B34" s="68" t="s">
        <v>383</v>
      </c>
      <c r="C34" s="8" t="n">
        <v>30000</v>
      </c>
      <c r="D34" s="69" t="n">
        <v>1</v>
      </c>
      <c r="E34" s="70" t="n">
        <f aca="false">C34*D34</f>
        <v>30000</v>
      </c>
      <c r="F34" s="71" t="s">
        <v>211</v>
      </c>
      <c r="G34" s="9" t="s">
        <v>384</v>
      </c>
    </row>
    <row r="35" customFormat="false" ht="18" hidden="false" customHeight="true" outlineLevel="0" collapsed="false">
      <c r="B35" s="68" t="s">
        <v>385</v>
      </c>
      <c r="C35" s="8" t="n">
        <v>7000</v>
      </c>
      <c r="D35" s="69" t="n">
        <v>1</v>
      </c>
      <c r="E35" s="70" t="n">
        <f aca="false">C35*D35</f>
        <v>7000</v>
      </c>
      <c r="F35" s="71" t="s">
        <v>211</v>
      </c>
      <c r="G35" s="9" t="s">
        <v>386</v>
      </c>
    </row>
    <row r="36" customFormat="false" ht="18" hidden="false" customHeight="true" outlineLevel="0" collapsed="false">
      <c r="B36" s="68" t="s">
        <v>387</v>
      </c>
      <c r="C36" s="8" t="n">
        <v>10000</v>
      </c>
      <c r="D36" s="69" t="n">
        <v>1</v>
      </c>
      <c r="E36" s="70" t="n">
        <f aca="false">C36*D36</f>
        <v>10000</v>
      </c>
      <c r="F36" s="71" t="s">
        <v>211</v>
      </c>
      <c r="G36" s="9" t="s">
        <v>388</v>
      </c>
    </row>
    <row r="37" customFormat="false" ht="18" hidden="false" customHeight="true" outlineLevel="0" collapsed="false">
      <c r="B37" s="68" t="s">
        <v>389</v>
      </c>
      <c r="C37" s="8" t="n">
        <v>3500</v>
      </c>
      <c r="D37" s="69" t="n">
        <v>1</v>
      </c>
      <c r="E37" s="70" t="n">
        <f aca="false">C37*D37</f>
        <v>3500</v>
      </c>
      <c r="F37" s="71" t="s">
        <v>211</v>
      </c>
      <c r="G37" s="9" t="s">
        <v>390</v>
      </c>
    </row>
    <row r="38" customFormat="false" ht="18" hidden="false" customHeight="true" outlineLevel="0" collapsed="false">
      <c r="B38" s="68" t="s">
        <v>391</v>
      </c>
      <c r="C38" s="8" t="n">
        <v>22000</v>
      </c>
      <c r="D38" s="69" t="n">
        <v>1</v>
      </c>
      <c r="E38" s="70" t="n">
        <f aca="false">C38*D38</f>
        <v>22000</v>
      </c>
      <c r="F38" s="71" t="s">
        <v>211</v>
      </c>
      <c r="G38" s="9" t="s">
        <v>392</v>
      </c>
    </row>
    <row r="39" customFormat="false" ht="18" hidden="false" customHeight="true" outlineLevel="0" collapsed="false">
      <c r="B39" s="68" t="s">
        <v>393</v>
      </c>
      <c r="C39" s="8" t="n">
        <v>22000</v>
      </c>
      <c r="D39" s="69" t="n">
        <v>1</v>
      </c>
      <c r="E39" s="70" t="n">
        <f aca="false">C39*D39</f>
        <v>22000</v>
      </c>
      <c r="F39" s="71" t="s">
        <v>211</v>
      </c>
      <c r="G39" s="9" t="s">
        <v>394</v>
      </c>
    </row>
    <row r="40" customFormat="false" ht="18" hidden="false" customHeight="true" outlineLevel="0" collapsed="false">
      <c r="B40" s="68" t="s">
        <v>395</v>
      </c>
      <c r="C40" s="8" t="n">
        <v>9000</v>
      </c>
      <c r="D40" s="69" t="n">
        <v>1</v>
      </c>
      <c r="E40" s="70" t="n">
        <f aca="false">C40*D40</f>
        <v>9000</v>
      </c>
      <c r="F40" s="71" t="s">
        <v>211</v>
      </c>
      <c r="G40" s="9" t="s">
        <v>396</v>
      </c>
    </row>
    <row r="41" customFormat="false" ht="18" hidden="false" customHeight="true" outlineLevel="0" collapsed="false">
      <c r="B41" s="68" t="s">
        <v>397</v>
      </c>
      <c r="C41" s="8" t="n">
        <v>9000</v>
      </c>
      <c r="D41" s="69" t="n">
        <v>1</v>
      </c>
      <c r="E41" s="70" t="n">
        <f aca="false">C41*D41</f>
        <v>9000</v>
      </c>
      <c r="F41" s="71" t="s">
        <v>211</v>
      </c>
      <c r="G41" s="9" t="s">
        <v>398</v>
      </c>
    </row>
    <row r="42" customFormat="false" ht="18" hidden="false" customHeight="true" outlineLevel="0" collapsed="false">
      <c r="B42" s="68" t="s">
        <v>399</v>
      </c>
      <c r="C42" s="8" t="n">
        <v>9000</v>
      </c>
      <c r="D42" s="69" t="n">
        <v>1</v>
      </c>
      <c r="E42" s="70" t="n">
        <f aca="false">C42*D42</f>
        <v>9000</v>
      </c>
      <c r="F42" s="71" t="s">
        <v>218</v>
      </c>
      <c r="G42" s="9" t="s">
        <v>400</v>
      </c>
    </row>
    <row r="43" customFormat="false" ht="18" hidden="false" customHeight="true" outlineLevel="0" collapsed="false">
      <c r="B43" s="68" t="s">
        <v>401</v>
      </c>
      <c r="C43" s="8" t="n">
        <v>4000</v>
      </c>
      <c r="D43" s="69" t="n">
        <v>1</v>
      </c>
      <c r="E43" s="70" t="n">
        <f aca="false">C43*D43</f>
        <v>4000</v>
      </c>
      <c r="F43" s="71" t="s">
        <v>211</v>
      </c>
      <c r="G43" s="9" t="s">
        <v>402</v>
      </c>
    </row>
    <row r="44" customFormat="false" ht="21.75" hidden="false" customHeight="true" outlineLevel="0" collapsed="false">
      <c r="B44" s="59" t="s">
        <v>403</v>
      </c>
      <c r="C44" s="72"/>
      <c r="D44" s="72"/>
      <c r="E44" s="73" t="n">
        <f aca="false">SUM(E34:E43)</f>
        <v>125500</v>
      </c>
      <c r="F44" s="74"/>
      <c r="G44" s="74"/>
    </row>
    <row r="46" customFormat="false" ht="30" hidden="false" customHeight="true" outlineLevel="0" collapsed="false">
      <c r="B46" s="85" t="s">
        <v>404</v>
      </c>
      <c r="C46" s="85"/>
      <c r="D46" s="85"/>
      <c r="E46" s="86" t="n">
        <f aca="false">SUM(E6:E43)</f>
        <v>1245500</v>
      </c>
      <c r="F46" s="87"/>
      <c r="G46" s="87"/>
    </row>
  </sheetData>
  <mergeCells count="9">
    <mergeCell ref="B1:G1"/>
    <mergeCell ref="B2:G2"/>
    <mergeCell ref="B4:G4"/>
    <mergeCell ref="C19:D19"/>
    <mergeCell ref="B21:G21"/>
    <mergeCell ref="C30:D30"/>
    <mergeCell ref="B32:G32"/>
    <mergeCell ref="C44:D44"/>
    <mergeCell ref="B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88" t="s">
        <v>405</v>
      </c>
      <c r="C1" s="88"/>
      <c r="D1" s="88"/>
      <c r="E1" s="88"/>
      <c r="F1" s="88"/>
      <c r="G1" s="88"/>
    </row>
    <row r="3" customFormat="false" ht="25.5" hidden="false" customHeight="true" outlineLevel="0" collapsed="false">
      <c r="B3" s="66" t="s">
        <v>406</v>
      </c>
      <c r="C3" s="66"/>
      <c r="D3" s="66"/>
      <c r="E3" s="66"/>
      <c r="F3" s="66"/>
      <c r="G3" s="66"/>
    </row>
    <row r="4" customFormat="false" ht="21.75" hidden="false" customHeight="true" outlineLevel="0" collapsed="false">
      <c r="B4" s="67" t="s">
        <v>204</v>
      </c>
      <c r="C4" s="67" t="s">
        <v>205</v>
      </c>
      <c r="D4" s="67" t="s">
        <v>206</v>
      </c>
      <c r="E4" s="67" t="s">
        <v>207</v>
      </c>
      <c r="F4" s="67" t="s">
        <v>208</v>
      </c>
      <c r="G4" s="67" t="s">
        <v>209</v>
      </c>
    </row>
    <row r="5" customFormat="false" ht="18" hidden="false" customHeight="true" outlineLevel="0" collapsed="false">
      <c r="B5" s="68" t="s">
        <v>407</v>
      </c>
      <c r="C5" s="8" t="n">
        <v>38000</v>
      </c>
      <c r="D5" s="69" t="n">
        <v>1</v>
      </c>
      <c r="E5" s="70" t="n">
        <f aca="false">C5*D5</f>
        <v>38000</v>
      </c>
      <c r="F5" s="71" t="s">
        <v>211</v>
      </c>
      <c r="G5" s="9" t="s">
        <v>408</v>
      </c>
    </row>
    <row r="6" customFormat="false" ht="18" hidden="false" customHeight="true" outlineLevel="0" collapsed="false">
      <c r="B6" s="68" t="s">
        <v>409</v>
      </c>
      <c r="C6" s="8" t="n">
        <v>28000</v>
      </c>
      <c r="D6" s="69" t="n">
        <v>1</v>
      </c>
      <c r="E6" s="70" t="n">
        <f aca="false">C6*D6</f>
        <v>28000</v>
      </c>
      <c r="F6" s="71" t="s">
        <v>211</v>
      </c>
      <c r="G6" s="9" t="s">
        <v>410</v>
      </c>
    </row>
    <row r="7" customFormat="false" ht="18" hidden="false" customHeight="true" outlineLevel="0" collapsed="false">
      <c r="B7" s="68" t="s">
        <v>411</v>
      </c>
      <c r="C7" s="8" t="n">
        <v>12000</v>
      </c>
      <c r="D7" s="69" t="n">
        <v>1</v>
      </c>
      <c r="E7" s="70" t="n">
        <f aca="false">C7*D7</f>
        <v>12000</v>
      </c>
      <c r="F7" s="71" t="s">
        <v>211</v>
      </c>
      <c r="G7" s="9" t="s">
        <v>412</v>
      </c>
    </row>
    <row r="8" customFormat="false" ht="18" hidden="false" customHeight="true" outlineLevel="0" collapsed="false">
      <c r="B8" s="68" t="s">
        <v>413</v>
      </c>
      <c r="C8" s="8" t="n">
        <v>10000</v>
      </c>
      <c r="D8" s="69" t="n">
        <v>1</v>
      </c>
      <c r="E8" s="70" t="n">
        <f aca="false">C8*D8</f>
        <v>10000</v>
      </c>
      <c r="F8" s="71" t="s">
        <v>211</v>
      </c>
      <c r="G8" s="9" t="s">
        <v>414</v>
      </c>
    </row>
    <row r="9" customFormat="false" ht="18" hidden="false" customHeight="true" outlineLevel="0" collapsed="false">
      <c r="B9" s="68" t="s">
        <v>415</v>
      </c>
      <c r="C9" s="8" t="n">
        <v>14000</v>
      </c>
      <c r="D9" s="69" t="n">
        <v>1</v>
      </c>
      <c r="E9" s="70" t="n">
        <f aca="false">C9*D9</f>
        <v>14000</v>
      </c>
      <c r="F9" s="71" t="s">
        <v>211</v>
      </c>
      <c r="G9" s="9" t="s">
        <v>416</v>
      </c>
    </row>
    <row r="10" customFormat="false" ht="18" hidden="false" customHeight="true" outlineLevel="0" collapsed="false">
      <c r="B10" s="68" t="s">
        <v>417</v>
      </c>
      <c r="C10" s="8" t="n">
        <v>8000</v>
      </c>
      <c r="D10" s="69" t="n">
        <v>1</v>
      </c>
      <c r="E10" s="70" t="n">
        <f aca="false">C10*D10</f>
        <v>8000</v>
      </c>
      <c r="F10" s="71" t="s">
        <v>211</v>
      </c>
      <c r="G10" s="9" t="s">
        <v>418</v>
      </c>
    </row>
    <row r="11" customFormat="false" ht="18" hidden="false" customHeight="true" outlineLevel="0" collapsed="false">
      <c r="B11" s="68" t="s">
        <v>419</v>
      </c>
      <c r="C11" s="8" t="n">
        <v>12000</v>
      </c>
      <c r="D11" s="69" t="n">
        <v>1</v>
      </c>
      <c r="E11" s="70" t="n">
        <f aca="false">C11*D11</f>
        <v>12000</v>
      </c>
      <c r="F11" s="71" t="s">
        <v>211</v>
      </c>
      <c r="G11" s="9" t="s">
        <v>420</v>
      </c>
    </row>
    <row r="12" customFormat="false" ht="18" hidden="false" customHeight="true" outlineLevel="0" collapsed="false">
      <c r="B12" s="68" t="s">
        <v>421</v>
      </c>
      <c r="C12" s="8" t="n">
        <v>35000</v>
      </c>
      <c r="D12" s="69" t="n">
        <v>1</v>
      </c>
      <c r="E12" s="70" t="n">
        <f aca="false">C12*D12</f>
        <v>35000</v>
      </c>
      <c r="F12" s="71" t="s">
        <v>218</v>
      </c>
      <c r="G12" s="9" t="s">
        <v>422</v>
      </c>
    </row>
    <row r="13" customFormat="false" ht="18" hidden="false" customHeight="true" outlineLevel="0" collapsed="false">
      <c r="B13" s="68" t="s">
        <v>423</v>
      </c>
      <c r="C13" s="8" t="n">
        <v>25000</v>
      </c>
      <c r="D13" s="69" t="n">
        <v>1</v>
      </c>
      <c r="E13" s="70" t="n">
        <f aca="false">C13*D13</f>
        <v>25000</v>
      </c>
      <c r="F13" s="71" t="s">
        <v>211</v>
      </c>
      <c r="G13" s="9" t="s">
        <v>424</v>
      </c>
    </row>
    <row r="14" customFormat="false" ht="21.75" hidden="false" customHeight="true" outlineLevel="0" collapsed="false">
      <c r="B14" s="59" t="s">
        <v>425</v>
      </c>
      <c r="C14" s="72"/>
      <c r="D14" s="72"/>
      <c r="E14" s="73" t="n">
        <f aca="false">SUM(E5:E13)</f>
        <v>182000</v>
      </c>
      <c r="F14" s="74"/>
      <c r="G14" s="74"/>
    </row>
    <row r="16" customFormat="false" ht="25.5" hidden="false" customHeight="true" outlineLevel="0" collapsed="false">
      <c r="B16" s="66" t="s">
        <v>426</v>
      </c>
      <c r="C16" s="66"/>
      <c r="D16" s="66"/>
      <c r="E16" s="66"/>
      <c r="F16" s="66"/>
      <c r="G16" s="66"/>
    </row>
    <row r="17" customFormat="false" ht="21.75" hidden="false" customHeight="true" outlineLevel="0" collapsed="false">
      <c r="B17" s="67" t="s">
        <v>204</v>
      </c>
      <c r="C17" s="67" t="s">
        <v>205</v>
      </c>
      <c r="D17" s="67" t="s">
        <v>206</v>
      </c>
      <c r="E17" s="67" t="s">
        <v>207</v>
      </c>
      <c r="F17" s="67" t="s">
        <v>208</v>
      </c>
      <c r="G17" s="67" t="s">
        <v>209</v>
      </c>
    </row>
    <row r="18" customFormat="false" ht="18" hidden="false" customHeight="true" outlineLevel="0" collapsed="false">
      <c r="B18" s="75" t="s">
        <v>427</v>
      </c>
      <c r="C18" s="76" t="n">
        <v>0</v>
      </c>
      <c r="D18" s="77" t="n">
        <v>1</v>
      </c>
      <c r="E18" s="78" t="n">
        <f aca="false">C18*D18</f>
        <v>0</v>
      </c>
      <c r="F18" s="79" t="s">
        <v>211</v>
      </c>
      <c r="G18" s="80" t="s">
        <v>428</v>
      </c>
    </row>
    <row r="19" customFormat="false" ht="18" hidden="false" customHeight="true" outlineLevel="0" collapsed="false">
      <c r="B19" s="75" t="s">
        <v>429</v>
      </c>
      <c r="C19" s="76" t="n">
        <v>0</v>
      </c>
      <c r="D19" s="77" t="n">
        <v>1</v>
      </c>
      <c r="E19" s="78" t="n">
        <f aca="false">C19*D19</f>
        <v>0</v>
      </c>
      <c r="F19" s="79" t="s">
        <v>211</v>
      </c>
      <c r="G19" s="80" t="s">
        <v>430</v>
      </c>
    </row>
    <row r="20" customFormat="false" ht="18" hidden="false" customHeight="true" outlineLevel="0" collapsed="false">
      <c r="B20" s="75" t="s">
        <v>431</v>
      </c>
      <c r="C20" s="76" t="n">
        <v>0</v>
      </c>
      <c r="D20" s="77" t="n">
        <v>1</v>
      </c>
      <c r="E20" s="78" t="n">
        <f aca="false">C20*D20</f>
        <v>0</v>
      </c>
      <c r="F20" s="79" t="s">
        <v>211</v>
      </c>
      <c r="G20" s="80" t="s">
        <v>432</v>
      </c>
    </row>
    <row r="21" customFormat="false" ht="18" hidden="false" customHeight="true" outlineLevel="0" collapsed="false">
      <c r="B21" s="75" t="s">
        <v>433</v>
      </c>
      <c r="C21" s="76" t="n">
        <v>15000</v>
      </c>
      <c r="D21" s="77" t="n">
        <v>1</v>
      </c>
      <c r="E21" s="78" t="n">
        <f aca="false">C21*D21</f>
        <v>15000</v>
      </c>
      <c r="F21" s="79" t="s">
        <v>211</v>
      </c>
      <c r="G21" s="80" t="s">
        <v>434</v>
      </c>
    </row>
    <row r="22" customFormat="false" ht="18" hidden="false" customHeight="true" outlineLevel="0" collapsed="false">
      <c r="B22" s="75" t="s">
        <v>435</v>
      </c>
      <c r="C22" s="76" t="n">
        <v>8000</v>
      </c>
      <c r="D22" s="77" t="n">
        <v>1</v>
      </c>
      <c r="E22" s="78" t="n">
        <f aca="false">C22*D22</f>
        <v>8000</v>
      </c>
      <c r="F22" s="79" t="s">
        <v>211</v>
      </c>
      <c r="G22" s="80" t="s">
        <v>436</v>
      </c>
    </row>
    <row r="23" customFormat="false" ht="18" hidden="false" customHeight="true" outlineLevel="0" collapsed="false">
      <c r="B23" s="75" t="s">
        <v>437</v>
      </c>
      <c r="C23" s="76" t="n">
        <v>18000</v>
      </c>
      <c r="D23" s="77" t="n">
        <v>1</v>
      </c>
      <c r="E23" s="78" t="n">
        <f aca="false">C23*D23</f>
        <v>18000</v>
      </c>
      <c r="F23" s="79" t="s">
        <v>211</v>
      </c>
      <c r="G23" s="80" t="s">
        <v>438</v>
      </c>
    </row>
    <row r="24" customFormat="false" ht="18" hidden="false" customHeight="true" outlineLevel="0" collapsed="false">
      <c r="B24" s="75" t="s">
        <v>439</v>
      </c>
      <c r="C24" s="76" t="n">
        <v>4000</v>
      </c>
      <c r="D24" s="77" t="n">
        <v>6</v>
      </c>
      <c r="E24" s="78" t="n">
        <f aca="false">C24*D24</f>
        <v>24000</v>
      </c>
      <c r="F24" s="79" t="s">
        <v>211</v>
      </c>
      <c r="G24" s="80" t="s">
        <v>440</v>
      </c>
    </row>
    <row r="25" customFormat="false" ht="18" hidden="false" customHeight="true" outlineLevel="0" collapsed="false">
      <c r="B25" s="75" t="s">
        <v>441</v>
      </c>
      <c r="C25" s="76" t="n">
        <v>3500</v>
      </c>
      <c r="D25" s="77" t="n">
        <v>1</v>
      </c>
      <c r="E25" s="78" t="n">
        <f aca="false">C25*D25</f>
        <v>3500</v>
      </c>
      <c r="F25" s="79" t="s">
        <v>211</v>
      </c>
      <c r="G25" s="80" t="s">
        <v>442</v>
      </c>
    </row>
    <row r="26" customFormat="false" ht="18" hidden="false" customHeight="true" outlineLevel="0" collapsed="false">
      <c r="B26" s="75" t="s">
        <v>443</v>
      </c>
      <c r="C26" s="76" t="n">
        <v>0</v>
      </c>
      <c r="D26" s="77" t="n">
        <v>1</v>
      </c>
      <c r="E26" s="78" t="n">
        <f aca="false">C26*D26</f>
        <v>0</v>
      </c>
      <c r="F26" s="79" t="s">
        <v>211</v>
      </c>
      <c r="G26" s="80" t="s">
        <v>444</v>
      </c>
    </row>
    <row r="27" customFormat="false" ht="18" hidden="false" customHeight="true" outlineLevel="0" collapsed="false">
      <c r="B27" s="75" t="s">
        <v>445</v>
      </c>
      <c r="C27" s="76" t="n">
        <v>5000</v>
      </c>
      <c r="D27" s="77" t="n">
        <v>1</v>
      </c>
      <c r="E27" s="78" t="n">
        <f aca="false">C27*D27</f>
        <v>5000</v>
      </c>
      <c r="F27" s="79" t="s">
        <v>211</v>
      </c>
      <c r="G27" s="80" t="s">
        <v>446</v>
      </c>
    </row>
    <row r="28" customFormat="false" ht="21.75" hidden="false" customHeight="true" outlineLevel="0" collapsed="false">
      <c r="B28" s="59" t="s">
        <v>447</v>
      </c>
      <c r="C28" s="72"/>
      <c r="D28" s="72"/>
      <c r="E28" s="73" t="n">
        <f aca="false">SUM(E18:E27)</f>
        <v>73500</v>
      </c>
      <c r="F28" s="74"/>
      <c r="G28" s="74"/>
    </row>
    <row r="30" customFormat="false" ht="25.5" hidden="false" customHeight="true" outlineLevel="0" collapsed="false">
      <c r="B30" s="66" t="s">
        <v>448</v>
      </c>
      <c r="C30" s="66"/>
      <c r="D30" s="66"/>
      <c r="E30" s="66"/>
      <c r="F30" s="66"/>
      <c r="G30" s="66"/>
    </row>
    <row r="31" customFormat="false" ht="21.75" hidden="false" customHeight="true" outlineLevel="0" collapsed="false">
      <c r="B31" s="67" t="s">
        <v>204</v>
      </c>
      <c r="C31" s="67" t="s">
        <v>205</v>
      </c>
      <c r="D31" s="67" t="s">
        <v>206</v>
      </c>
      <c r="E31" s="67" t="s">
        <v>207</v>
      </c>
      <c r="F31" s="67" t="s">
        <v>208</v>
      </c>
      <c r="G31" s="67" t="s">
        <v>209</v>
      </c>
    </row>
    <row r="32" customFormat="false" ht="18" hidden="false" customHeight="true" outlineLevel="0" collapsed="false">
      <c r="B32" s="68" t="s">
        <v>449</v>
      </c>
      <c r="C32" s="8" t="n">
        <v>12000</v>
      </c>
      <c r="D32" s="69" t="n">
        <v>1</v>
      </c>
      <c r="E32" s="70" t="n">
        <f aca="false">C32*D32</f>
        <v>12000</v>
      </c>
      <c r="F32" s="71" t="s">
        <v>211</v>
      </c>
      <c r="G32" s="9" t="s">
        <v>450</v>
      </c>
    </row>
    <row r="33" customFormat="false" ht="18" hidden="false" customHeight="true" outlineLevel="0" collapsed="false">
      <c r="B33" s="68" t="s">
        <v>451</v>
      </c>
      <c r="C33" s="8" t="n">
        <v>8000</v>
      </c>
      <c r="D33" s="69" t="n">
        <v>4</v>
      </c>
      <c r="E33" s="70" t="n">
        <f aca="false">C33*D33</f>
        <v>32000</v>
      </c>
      <c r="F33" s="71" t="s">
        <v>218</v>
      </c>
      <c r="G33" s="9" t="s">
        <v>452</v>
      </c>
    </row>
    <row r="34" customFormat="false" ht="18" hidden="false" customHeight="true" outlineLevel="0" collapsed="false">
      <c r="B34" s="68" t="s">
        <v>453</v>
      </c>
      <c r="C34" s="8" t="n">
        <v>5000</v>
      </c>
      <c r="D34" s="69" t="n">
        <v>1</v>
      </c>
      <c r="E34" s="70" t="n">
        <f aca="false">C34*D34</f>
        <v>5000</v>
      </c>
      <c r="F34" s="71" t="s">
        <v>211</v>
      </c>
      <c r="G34" s="9" t="s">
        <v>454</v>
      </c>
    </row>
    <row r="35" customFormat="false" ht="18" hidden="false" customHeight="true" outlineLevel="0" collapsed="false">
      <c r="B35" s="68" t="s">
        <v>455</v>
      </c>
      <c r="C35" s="8" t="n">
        <v>3000</v>
      </c>
      <c r="D35" s="69" t="n">
        <v>1</v>
      </c>
      <c r="E35" s="70" t="n">
        <f aca="false">C35*D35</f>
        <v>3000</v>
      </c>
      <c r="F35" s="71" t="s">
        <v>211</v>
      </c>
      <c r="G35" s="9" t="s">
        <v>456</v>
      </c>
    </row>
    <row r="36" customFormat="false" ht="18" hidden="false" customHeight="true" outlineLevel="0" collapsed="false">
      <c r="B36" s="68" t="s">
        <v>457</v>
      </c>
      <c r="C36" s="8" t="n">
        <v>12000</v>
      </c>
      <c r="D36" s="69" t="n">
        <v>1</v>
      </c>
      <c r="E36" s="70" t="n">
        <f aca="false">C36*D36</f>
        <v>12000</v>
      </c>
      <c r="F36" s="71" t="s">
        <v>211</v>
      </c>
      <c r="G36" s="9" t="s">
        <v>458</v>
      </c>
    </row>
    <row r="37" customFormat="false" ht="21.75" hidden="false" customHeight="true" outlineLevel="0" collapsed="false">
      <c r="B37" s="59" t="s">
        <v>459</v>
      </c>
      <c r="C37" s="72"/>
      <c r="D37" s="72"/>
      <c r="E37" s="73" t="n">
        <f aca="false">SUM(E32:E36)</f>
        <v>64000</v>
      </c>
      <c r="F37" s="74"/>
      <c r="G37" s="74"/>
    </row>
    <row r="39" customFormat="false" ht="30" hidden="false" customHeight="true" outlineLevel="0" collapsed="false">
      <c r="B39" s="89" t="s">
        <v>460</v>
      </c>
      <c r="C39" s="89"/>
      <c r="D39" s="89"/>
      <c r="E39" s="90" t="n">
        <f aca="false">SUM(E5:E36)</f>
        <v>575000</v>
      </c>
      <c r="F39" s="91"/>
      <c r="G39" s="91"/>
    </row>
  </sheetData>
  <mergeCells count="8">
    <mergeCell ref="B1:G1"/>
    <mergeCell ref="B3:G3"/>
    <mergeCell ref="C14:D14"/>
    <mergeCell ref="B16:G16"/>
    <mergeCell ref="C28:D28"/>
    <mergeCell ref="B30:G30"/>
    <mergeCell ref="C37:D37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92" t="s">
        <v>461</v>
      </c>
      <c r="C1" s="92"/>
      <c r="D1" s="92"/>
      <c r="E1" s="92"/>
      <c r="F1" s="92"/>
      <c r="G1" s="92"/>
    </row>
    <row r="3" customFormat="false" ht="25.5" hidden="false" customHeight="true" outlineLevel="0" collapsed="false">
      <c r="B3" s="66" t="s">
        <v>462</v>
      </c>
      <c r="C3" s="66"/>
      <c r="D3" s="66"/>
      <c r="E3" s="66"/>
      <c r="F3" s="66"/>
      <c r="G3" s="66"/>
    </row>
    <row r="4" customFormat="false" ht="21.75" hidden="false" customHeight="true" outlineLevel="0" collapsed="false">
      <c r="B4" s="67" t="s">
        <v>204</v>
      </c>
      <c r="C4" s="67" t="s">
        <v>205</v>
      </c>
      <c r="D4" s="67" t="s">
        <v>206</v>
      </c>
      <c r="E4" s="67" t="s">
        <v>207</v>
      </c>
      <c r="F4" s="67" t="s">
        <v>208</v>
      </c>
      <c r="G4" s="67" t="s">
        <v>209</v>
      </c>
    </row>
    <row r="5" customFormat="false" ht="18" hidden="false" customHeight="true" outlineLevel="0" collapsed="false">
      <c r="B5" s="68" t="s">
        <v>463</v>
      </c>
      <c r="C5" s="8" t="n">
        <v>15000</v>
      </c>
      <c r="D5" s="69" t="n">
        <v>1</v>
      </c>
      <c r="E5" s="70" t="n">
        <f aca="false">C5*D5</f>
        <v>15000</v>
      </c>
      <c r="F5" s="71" t="s">
        <v>211</v>
      </c>
      <c r="G5" s="9" t="s">
        <v>464</v>
      </c>
    </row>
    <row r="6" customFormat="false" ht="18" hidden="false" customHeight="true" outlineLevel="0" collapsed="false">
      <c r="B6" s="10" t="s">
        <v>465</v>
      </c>
      <c r="C6" s="11" t="n">
        <v>12000</v>
      </c>
      <c r="D6" s="93" t="n">
        <v>1</v>
      </c>
      <c r="E6" s="94" t="n">
        <f aca="false">C6*D6</f>
        <v>12000</v>
      </c>
      <c r="F6" s="95" t="s">
        <v>211</v>
      </c>
      <c r="G6" s="12" t="s">
        <v>466</v>
      </c>
    </row>
    <row r="7" customFormat="false" ht="18" hidden="false" customHeight="true" outlineLevel="0" collapsed="false">
      <c r="B7" s="68" t="s">
        <v>467</v>
      </c>
      <c r="C7" s="8" t="n">
        <v>8000</v>
      </c>
      <c r="D7" s="69" t="n">
        <v>1</v>
      </c>
      <c r="E7" s="70" t="n">
        <f aca="false">C7*D7</f>
        <v>8000</v>
      </c>
      <c r="F7" s="71" t="s">
        <v>211</v>
      </c>
      <c r="G7" s="9" t="s">
        <v>468</v>
      </c>
    </row>
    <row r="8" customFormat="false" ht="18" hidden="false" customHeight="true" outlineLevel="0" collapsed="false">
      <c r="B8" s="10" t="s">
        <v>469</v>
      </c>
      <c r="C8" s="11" t="n">
        <v>6000</v>
      </c>
      <c r="D8" s="93" t="n">
        <v>1</v>
      </c>
      <c r="E8" s="94" t="n">
        <f aca="false">C8*D8</f>
        <v>6000</v>
      </c>
      <c r="F8" s="95" t="s">
        <v>211</v>
      </c>
      <c r="G8" s="12" t="s">
        <v>470</v>
      </c>
    </row>
    <row r="9" customFormat="false" ht="18" hidden="false" customHeight="true" outlineLevel="0" collapsed="false">
      <c r="B9" s="68" t="s">
        <v>471</v>
      </c>
      <c r="C9" s="8" t="n">
        <v>2000</v>
      </c>
      <c r="D9" s="69" t="n">
        <v>8</v>
      </c>
      <c r="E9" s="70" t="n">
        <f aca="false">C9*D9</f>
        <v>16000</v>
      </c>
      <c r="F9" s="71" t="s">
        <v>211</v>
      </c>
      <c r="G9" s="9" t="s">
        <v>472</v>
      </c>
    </row>
    <row r="10" customFormat="false" ht="18" hidden="false" customHeight="true" outlineLevel="0" collapsed="false">
      <c r="B10" s="10" t="s">
        <v>473</v>
      </c>
      <c r="C10" s="11" t="n">
        <v>5000</v>
      </c>
      <c r="D10" s="93" t="n">
        <v>1</v>
      </c>
      <c r="E10" s="94" t="n">
        <f aca="false">C10*D10</f>
        <v>5000</v>
      </c>
      <c r="F10" s="95" t="s">
        <v>211</v>
      </c>
      <c r="G10" s="12" t="s">
        <v>474</v>
      </c>
    </row>
    <row r="11" customFormat="false" ht="18" hidden="false" customHeight="true" outlineLevel="0" collapsed="false">
      <c r="B11" s="68" t="s">
        <v>475</v>
      </c>
      <c r="C11" s="8" t="n">
        <v>3000</v>
      </c>
      <c r="D11" s="69" t="n">
        <v>1</v>
      </c>
      <c r="E11" s="70" t="n">
        <f aca="false">C11*D11</f>
        <v>3000</v>
      </c>
      <c r="F11" s="71" t="s">
        <v>211</v>
      </c>
      <c r="G11" s="9" t="s">
        <v>476</v>
      </c>
    </row>
    <row r="12" customFormat="false" ht="18" hidden="false" customHeight="true" outlineLevel="0" collapsed="false">
      <c r="B12" s="10" t="s">
        <v>477</v>
      </c>
      <c r="C12" s="11" t="n">
        <v>8000</v>
      </c>
      <c r="D12" s="93" t="n">
        <v>1</v>
      </c>
      <c r="E12" s="94" t="n">
        <f aca="false">C12*D12</f>
        <v>8000</v>
      </c>
      <c r="F12" s="95" t="s">
        <v>218</v>
      </c>
      <c r="G12" s="12" t="s">
        <v>478</v>
      </c>
    </row>
    <row r="13" customFormat="false" ht="18" hidden="false" customHeight="true" outlineLevel="0" collapsed="false">
      <c r="B13" s="68" t="s">
        <v>479</v>
      </c>
      <c r="C13" s="8" t="n">
        <v>12000</v>
      </c>
      <c r="D13" s="69" t="n">
        <v>1</v>
      </c>
      <c r="E13" s="70" t="n">
        <f aca="false">C13*D13</f>
        <v>12000</v>
      </c>
      <c r="F13" s="71" t="s">
        <v>218</v>
      </c>
      <c r="G13" s="9" t="s">
        <v>480</v>
      </c>
    </row>
    <row r="14" customFormat="false" ht="18" hidden="false" customHeight="true" outlineLevel="0" collapsed="false">
      <c r="B14" s="10" t="s">
        <v>481</v>
      </c>
      <c r="C14" s="11" t="n">
        <v>0</v>
      </c>
      <c r="D14" s="93" t="n">
        <v>1</v>
      </c>
      <c r="E14" s="94" t="n">
        <f aca="false">C14*D14</f>
        <v>0</v>
      </c>
      <c r="F14" s="95" t="s">
        <v>211</v>
      </c>
      <c r="G14" s="12" t="s">
        <v>482</v>
      </c>
    </row>
    <row r="15" customFormat="false" ht="18" hidden="false" customHeight="true" outlineLevel="0" collapsed="false">
      <c r="B15" s="68" t="s">
        <v>483</v>
      </c>
      <c r="C15" s="8" t="n">
        <v>0</v>
      </c>
      <c r="D15" s="69" t="n">
        <v>1</v>
      </c>
      <c r="E15" s="70" t="n">
        <f aca="false">C15*D15</f>
        <v>0</v>
      </c>
      <c r="F15" s="71" t="s">
        <v>211</v>
      </c>
      <c r="G15" s="9" t="s">
        <v>484</v>
      </c>
    </row>
    <row r="16" customFormat="false" ht="18" hidden="false" customHeight="true" outlineLevel="0" collapsed="false">
      <c r="B16" s="10" t="s">
        <v>485</v>
      </c>
      <c r="C16" s="11" t="n">
        <v>8000</v>
      </c>
      <c r="D16" s="93" t="n">
        <v>1</v>
      </c>
      <c r="E16" s="94" t="n">
        <f aca="false">C16*D16</f>
        <v>8000</v>
      </c>
      <c r="F16" s="95" t="s">
        <v>218</v>
      </c>
      <c r="G16" s="12" t="s">
        <v>486</v>
      </c>
    </row>
    <row r="17" customFormat="false" ht="18" hidden="false" customHeight="true" outlineLevel="0" collapsed="false">
      <c r="B17" s="68" t="s">
        <v>487</v>
      </c>
      <c r="C17" s="8" t="n">
        <v>5000</v>
      </c>
      <c r="D17" s="69" t="n">
        <v>1</v>
      </c>
      <c r="E17" s="70" t="n">
        <f aca="false">C17*D17</f>
        <v>5000</v>
      </c>
      <c r="F17" s="71" t="s">
        <v>211</v>
      </c>
      <c r="G17" s="9" t="s">
        <v>488</v>
      </c>
    </row>
    <row r="18" customFormat="false" ht="18" hidden="false" customHeight="true" outlineLevel="0" collapsed="false">
      <c r="B18" s="10" t="s">
        <v>489</v>
      </c>
      <c r="C18" s="11" t="n">
        <v>3000</v>
      </c>
      <c r="D18" s="93" t="n">
        <v>1</v>
      </c>
      <c r="E18" s="94" t="n">
        <f aca="false">C18*D18</f>
        <v>3000</v>
      </c>
      <c r="F18" s="95" t="s">
        <v>211</v>
      </c>
      <c r="G18" s="12" t="s">
        <v>490</v>
      </c>
    </row>
    <row r="19" customFormat="false" ht="21.75" hidden="false" customHeight="true" outlineLevel="0" collapsed="false">
      <c r="B19" s="59" t="s">
        <v>491</v>
      </c>
      <c r="C19" s="72"/>
      <c r="D19" s="72"/>
      <c r="E19" s="73" t="n">
        <f aca="false">SUM(E5:E18)</f>
        <v>101000</v>
      </c>
      <c r="F19" s="74"/>
      <c r="G19" s="74"/>
    </row>
    <row r="21" customFormat="false" ht="19.5" hidden="false" customHeight="true" outlineLevel="0" collapsed="false">
      <c r="B21" s="96" t="s">
        <v>492</v>
      </c>
      <c r="C21" s="96"/>
      <c r="D21" s="96"/>
      <c r="E21" s="96"/>
      <c r="F21" s="96"/>
      <c r="G21" s="96"/>
    </row>
  </sheetData>
  <mergeCells count="4">
    <mergeCell ref="B1:G1"/>
    <mergeCell ref="B3:G3"/>
    <mergeCell ref="C19:D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9" min="9" style="1" width="4"/>
  </cols>
  <sheetData>
    <row r="1" customFormat="false" ht="36" hidden="false" customHeight="true" outlineLevel="0" collapsed="false">
      <c r="B1" s="65" t="s">
        <v>493</v>
      </c>
      <c r="C1" s="65"/>
      <c r="D1" s="65"/>
      <c r="E1" s="65"/>
      <c r="F1" s="65"/>
      <c r="G1" s="65"/>
      <c r="H1" s="65"/>
    </row>
    <row r="3" customFormat="false" ht="27.75" hidden="false" customHeight="true" outlineLevel="0" collapsed="false">
      <c r="B3" s="6" t="s">
        <v>494</v>
      </c>
      <c r="C3" s="6" t="s">
        <v>495</v>
      </c>
      <c r="D3" s="6" t="s">
        <v>496</v>
      </c>
      <c r="E3" s="6" t="s">
        <v>497</v>
      </c>
      <c r="F3" s="6" t="s">
        <v>498</v>
      </c>
      <c r="G3" s="6" t="s">
        <v>499</v>
      </c>
      <c r="H3" s="6" t="s">
        <v>8</v>
      </c>
    </row>
    <row r="4" customFormat="false" ht="21.75" hidden="false" customHeight="true" outlineLevel="0" collapsed="false">
      <c r="B4" s="97" t="s">
        <v>500</v>
      </c>
      <c r="C4" s="97"/>
      <c r="D4" s="97"/>
      <c r="E4" s="97"/>
      <c r="F4" s="97"/>
      <c r="G4" s="97"/>
      <c r="H4" s="97"/>
    </row>
    <row r="5" customFormat="false" ht="18" hidden="false" customHeight="true" outlineLevel="0" collapsed="false">
      <c r="B5" s="68" t="s">
        <v>501</v>
      </c>
      <c r="C5" s="8" t="n">
        <v>60000</v>
      </c>
      <c r="D5" s="69" t="n">
        <v>1</v>
      </c>
      <c r="E5" s="70" t="n">
        <f aca="false">C5*D5</f>
        <v>60000</v>
      </c>
      <c r="F5" s="70" t="n">
        <f aca="false">C5*D5</f>
        <v>60000</v>
      </c>
      <c r="G5" s="70" t="n">
        <f aca="false">C5*D5</f>
        <v>60000</v>
      </c>
      <c r="H5" s="9" t="s">
        <v>502</v>
      </c>
    </row>
    <row r="6" customFormat="false" ht="18" hidden="false" customHeight="true" outlineLevel="0" collapsed="false">
      <c r="B6" s="10" t="s">
        <v>503</v>
      </c>
      <c r="C6" s="11" t="n">
        <v>32000</v>
      </c>
      <c r="D6" s="93" t="n">
        <v>2</v>
      </c>
      <c r="E6" s="94" t="n">
        <f aca="false">C6*D6</f>
        <v>64000</v>
      </c>
      <c r="F6" s="94" t="n">
        <f aca="false">C6*D6</f>
        <v>64000</v>
      </c>
      <c r="G6" s="94" t="n">
        <f aca="false">C6*D6</f>
        <v>64000</v>
      </c>
      <c r="H6" s="12" t="s">
        <v>504</v>
      </c>
    </row>
    <row r="7" customFormat="false" ht="18" hidden="false" customHeight="true" outlineLevel="0" collapsed="false">
      <c r="B7" s="68" t="s">
        <v>505</v>
      </c>
      <c r="C7" s="8" t="n">
        <v>22000</v>
      </c>
      <c r="D7" s="69" t="n">
        <v>1</v>
      </c>
      <c r="E7" s="70" t="n">
        <f aca="false">C7*D7</f>
        <v>22000</v>
      </c>
      <c r="F7" s="70" t="n">
        <f aca="false">C7*D7</f>
        <v>22000</v>
      </c>
      <c r="G7" s="70" t="n">
        <f aca="false">C7*D7</f>
        <v>22000</v>
      </c>
      <c r="H7" s="9" t="s">
        <v>506</v>
      </c>
    </row>
    <row r="8" customFormat="false" ht="18" hidden="false" customHeight="true" outlineLevel="0" collapsed="false">
      <c r="B8" s="10" t="s">
        <v>507</v>
      </c>
      <c r="C8" s="11" t="n">
        <v>12000</v>
      </c>
      <c r="D8" s="93" t="n">
        <v>1</v>
      </c>
      <c r="E8" s="94" t="n">
        <f aca="false">C8*D8</f>
        <v>12000</v>
      </c>
      <c r="F8" s="94" t="n">
        <f aca="false">C8*D8</f>
        <v>12000</v>
      </c>
      <c r="G8" s="94" t="n">
        <f aca="false">C8*D8</f>
        <v>12000</v>
      </c>
      <c r="H8" s="12" t="s">
        <v>508</v>
      </c>
    </row>
    <row r="9" customFormat="false" ht="18" hidden="false" customHeight="true" outlineLevel="0" collapsed="false">
      <c r="B9" s="68" t="s">
        <v>509</v>
      </c>
      <c r="C9" s="8" t="n">
        <v>25000</v>
      </c>
      <c r="D9" s="69" t="n">
        <v>1</v>
      </c>
      <c r="E9" s="70" t="n">
        <f aca="false">C9*D9</f>
        <v>25000</v>
      </c>
      <c r="F9" s="70" t="n">
        <f aca="false">C9*D9</f>
        <v>25000</v>
      </c>
      <c r="G9" s="70" t="n">
        <f aca="false">C9*D9</f>
        <v>25000</v>
      </c>
      <c r="H9" s="9" t="s">
        <v>510</v>
      </c>
    </row>
    <row r="10" customFormat="false" ht="21.75" hidden="false" customHeight="true" outlineLevel="0" collapsed="false">
      <c r="B10" s="98" t="s">
        <v>511</v>
      </c>
      <c r="C10" s="74"/>
      <c r="D10" s="74"/>
      <c r="E10" s="99" t="n">
        <f aca="false">SUM(E5:E9)</f>
        <v>183000</v>
      </c>
      <c r="F10" s="99" t="n">
        <f aca="false">SUM(F5:F9)</f>
        <v>183000</v>
      </c>
      <c r="G10" s="99" t="n">
        <f aca="false">SUM(G5:G9)</f>
        <v>183000</v>
      </c>
      <c r="H10" s="74"/>
    </row>
    <row r="12" customFormat="false" ht="21.75" hidden="false" customHeight="true" outlineLevel="0" collapsed="false">
      <c r="B12" s="100" t="s">
        <v>512</v>
      </c>
      <c r="C12" s="100"/>
      <c r="D12" s="100"/>
      <c r="E12" s="100"/>
      <c r="F12" s="100"/>
      <c r="G12" s="100"/>
      <c r="H12" s="100"/>
    </row>
    <row r="13" customFormat="false" ht="18" hidden="false" customHeight="true" outlineLevel="0" collapsed="false">
      <c r="B13" s="68" t="s">
        <v>513</v>
      </c>
      <c r="C13" s="8" t="n">
        <v>38000</v>
      </c>
      <c r="D13" s="69" t="n">
        <v>1</v>
      </c>
      <c r="E13" s="70" t="n">
        <f aca="false">C13*D13</f>
        <v>38000</v>
      </c>
      <c r="F13" s="70" t="n">
        <f aca="false">C13*D13</f>
        <v>38000</v>
      </c>
      <c r="G13" s="70" t="n">
        <f aca="false">C13*D13</f>
        <v>38000</v>
      </c>
      <c r="H13" s="9" t="s">
        <v>514</v>
      </c>
    </row>
    <row r="14" customFormat="false" ht="18" hidden="false" customHeight="true" outlineLevel="0" collapsed="false">
      <c r="B14" s="10" t="s">
        <v>515</v>
      </c>
      <c r="C14" s="11" t="n">
        <v>20000</v>
      </c>
      <c r="D14" s="93" t="n">
        <v>2</v>
      </c>
      <c r="E14" s="94" t="n">
        <f aca="false">C14*D14</f>
        <v>40000</v>
      </c>
      <c r="F14" s="94" t="n">
        <f aca="false">C14*D14</f>
        <v>40000</v>
      </c>
      <c r="G14" s="94" t="n">
        <f aca="false">C14*D14</f>
        <v>40000</v>
      </c>
      <c r="H14" s="12" t="s">
        <v>516</v>
      </c>
    </row>
    <row r="15" customFormat="false" ht="18" hidden="false" customHeight="true" outlineLevel="0" collapsed="false">
      <c r="B15" s="68" t="s">
        <v>517</v>
      </c>
      <c r="C15" s="8" t="n">
        <v>22000</v>
      </c>
      <c r="D15" s="69" t="n">
        <v>1</v>
      </c>
      <c r="E15" s="70" t="n">
        <f aca="false">C15*D15</f>
        <v>22000</v>
      </c>
      <c r="F15" s="70" t="n">
        <f aca="false">C15*D15</f>
        <v>22000</v>
      </c>
      <c r="G15" s="70" t="n">
        <f aca="false">C15*D15</f>
        <v>22000</v>
      </c>
      <c r="H15" s="9" t="s">
        <v>518</v>
      </c>
    </row>
    <row r="16" customFormat="false" ht="21.75" hidden="false" customHeight="true" outlineLevel="0" collapsed="false">
      <c r="B16" s="101" t="s">
        <v>519</v>
      </c>
      <c r="C16" s="102"/>
      <c r="D16" s="102"/>
      <c r="E16" s="103" t="n">
        <f aca="false">SUM(E13:E15)</f>
        <v>100000</v>
      </c>
      <c r="F16" s="103" t="n">
        <f aca="false">SUM(F13:F15)</f>
        <v>100000</v>
      </c>
      <c r="G16" s="103" t="n">
        <f aca="false">SUM(G13:G15)</f>
        <v>100000</v>
      </c>
      <c r="H16" s="102"/>
    </row>
    <row r="18" customFormat="false" ht="27.75" hidden="false" customHeight="true" outlineLevel="0" collapsed="false">
      <c r="B18" s="16" t="s">
        <v>520</v>
      </c>
      <c r="C18" s="83"/>
      <c r="D18" s="83"/>
      <c r="E18" s="104" t="n">
        <f aca="false">E10+E16</f>
        <v>283000</v>
      </c>
      <c r="F18" s="104" t="n">
        <f aca="false">F10+F16</f>
        <v>283000</v>
      </c>
      <c r="G18" s="104" t="n">
        <f aca="false">G10+G16</f>
        <v>283000</v>
      </c>
      <c r="H18" s="83"/>
    </row>
    <row r="20" customFormat="false" ht="19.5" hidden="false" customHeight="true" outlineLevel="0" collapsed="false">
      <c r="B20" s="105" t="s">
        <v>521</v>
      </c>
      <c r="C20" s="105"/>
      <c r="D20" s="105"/>
      <c r="E20" s="105"/>
      <c r="F20" s="105"/>
      <c r="G20" s="105"/>
      <c r="H20" s="105"/>
    </row>
  </sheetData>
  <mergeCells count="4">
    <mergeCell ref="B1:H1"/>
    <mergeCell ref="B4:H4"/>
    <mergeCell ref="B12:H12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106" t="s">
        <v>522</v>
      </c>
      <c r="C1" s="106"/>
      <c r="D1" s="106"/>
      <c r="E1" s="106"/>
      <c r="F1" s="106"/>
      <c r="G1" s="106"/>
    </row>
    <row r="3" customFormat="false" ht="25.5" hidden="false" customHeight="true" outlineLevel="0" collapsed="false">
      <c r="B3" s="66" t="s">
        <v>523</v>
      </c>
      <c r="C3" s="66"/>
      <c r="D3" s="66"/>
      <c r="E3" s="66"/>
      <c r="F3" s="66"/>
      <c r="G3" s="66"/>
    </row>
    <row r="4" customFormat="false" ht="21.75" hidden="false" customHeight="true" outlineLevel="0" collapsed="false">
      <c r="B4" s="67" t="s">
        <v>204</v>
      </c>
      <c r="C4" s="67" t="s">
        <v>205</v>
      </c>
      <c r="D4" s="67" t="s">
        <v>206</v>
      </c>
      <c r="E4" s="67" t="s">
        <v>207</v>
      </c>
      <c r="F4" s="67" t="s">
        <v>208</v>
      </c>
      <c r="G4" s="67" t="s">
        <v>209</v>
      </c>
    </row>
    <row r="5" customFormat="false" ht="18" hidden="false" customHeight="true" outlineLevel="0" collapsed="false">
      <c r="B5" s="68" t="s">
        <v>524</v>
      </c>
      <c r="C5" s="8" t="n">
        <v>350</v>
      </c>
      <c r="D5" s="69" t="n">
        <v>40</v>
      </c>
      <c r="E5" s="70" t="n">
        <f aca="false">C5*D5</f>
        <v>14000</v>
      </c>
      <c r="F5" s="71" t="s">
        <v>211</v>
      </c>
      <c r="G5" s="9" t="s">
        <v>525</v>
      </c>
    </row>
    <row r="6" customFormat="false" ht="18" hidden="false" customHeight="true" outlineLevel="0" collapsed="false">
      <c r="B6" s="10" t="s">
        <v>526</v>
      </c>
      <c r="C6" s="11" t="n">
        <v>280</v>
      </c>
      <c r="D6" s="93" t="n">
        <v>30</v>
      </c>
      <c r="E6" s="94" t="n">
        <f aca="false">C6*D6</f>
        <v>8400</v>
      </c>
      <c r="F6" s="95" t="s">
        <v>211</v>
      </c>
      <c r="G6" s="12" t="s">
        <v>527</v>
      </c>
    </row>
    <row r="7" customFormat="false" ht="18" hidden="false" customHeight="true" outlineLevel="0" collapsed="false">
      <c r="B7" s="68" t="s">
        <v>528</v>
      </c>
      <c r="C7" s="8" t="n">
        <v>250</v>
      </c>
      <c r="D7" s="69" t="n">
        <v>20</v>
      </c>
      <c r="E7" s="70" t="n">
        <f aca="false">C7*D7</f>
        <v>5000</v>
      </c>
      <c r="F7" s="71" t="s">
        <v>211</v>
      </c>
      <c r="G7" s="9" t="s">
        <v>529</v>
      </c>
    </row>
    <row r="8" customFormat="false" ht="18" hidden="false" customHeight="true" outlineLevel="0" collapsed="false">
      <c r="B8" s="10" t="s">
        <v>530</v>
      </c>
      <c r="C8" s="11" t="n">
        <v>1800</v>
      </c>
      <c r="D8" s="93" t="n">
        <v>6</v>
      </c>
      <c r="E8" s="94" t="n">
        <f aca="false">C8*D8</f>
        <v>10800</v>
      </c>
      <c r="F8" s="95" t="s">
        <v>211</v>
      </c>
      <c r="G8" s="12" t="s">
        <v>531</v>
      </c>
    </row>
    <row r="9" customFormat="false" ht="18" hidden="false" customHeight="true" outlineLevel="0" collapsed="false">
      <c r="B9" s="68" t="s">
        <v>532</v>
      </c>
      <c r="C9" s="8" t="n">
        <v>2800</v>
      </c>
      <c r="D9" s="69" t="n">
        <v>4</v>
      </c>
      <c r="E9" s="70" t="n">
        <f aca="false">C9*D9</f>
        <v>11200</v>
      </c>
      <c r="F9" s="71" t="s">
        <v>211</v>
      </c>
      <c r="G9" s="9" t="s">
        <v>533</v>
      </c>
    </row>
    <row r="10" customFormat="false" ht="18" hidden="false" customHeight="true" outlineLevel="0" collapsed="false">
      <c r="B10" s="10" t="s">
        <v>534</v>
      </c>
      <c r="C10" s="11" t="n">
        <v>1600</v>
      </c>
      <c r="D10" s="93" t="n">
        <v>4</v>
      </c>
      <c r="E10" s="94" t="n">
        <f aca="false">C10*D10</f>
        <v>6400</v>
      </c>
      <c r="F10" s="95" t="s">
        <v>211</v>
      </c>
      <c r="G10" s="12" t="s">
        <v>535</v>
      </c>
    </row>
    <row r="11" customFormat="false" ht="18" hidden="false" customHeight="true" outlineLevel="0" collapsed="false">
      <c r="B11" s="68" t="s">
        <v>536</v>
      </c>
      <c r="C11" s="8" t="n">
        <v>3500</v>
      </c>
      <c r="D11" s="69" t="n">
        <v>4</v>
      </c>
      <c r="E11" s="70" t="n">
        <f aca="false">C11*D11</f>
        <v>14000</v>
      </c>
      <c r="F11" s="71" t="s">
        <v>211</v>
      </c>
      <c r="G11" s="9" t="s">
        <v>537</v>
      </c>
    </row>
    <row r="12" customFormat="false" ht="18" hidden="false" customHeight="true" outlineLevel="0" collapsed="false">
      <c r="B12" s="10" t="s">
        <v>538</v>
      </c>
      <c r="C12" s="11" t="n">
        <v>200</v>
      </c>
      <c r="D12" s="93" t="n">
        <v>60</v>
      </c>
      <c r="E12" s="94" t="n">
        <f aca="false">C12*D12</f>
        <v>12000</v>
      </c>
      <c r="F12" s="95" t="s">
        <v>211</v>
      </c>
      <c r="G12" s="12" t="s">
        <v>539</v>
      </c>
    </row>
    <row r="13" customFormat="false" ht="18" hidden="false" customHeight="true" outlineLevel="0" collapsed="false">
      <c r="B13" s="68" t="s">
        <v>540</v>
      </c>
      <c r="C13" s="8" t="n">
        <v>80</v>
      </c>
      <c r="D13" s="69" t="n">
        <v>30</v>
      </c>
      <c r="E13" s="70" t="n">
        <f aca="false">C13*D13</f>
        <v>2400</v>
      </c>
      <c r="F13" s="71" t="s">
        <v>211</v>
      </c>
      <c r="G13" s="9" t="s">
        <v>541</v>
      </c>
    </row>
    <row r="14" customFormat="false" ht="18" hidden="false" customHeight="true" outlineLevel="0" collapsed="false">
      <c r="B14" s="10" t="s">
        <v>542</v>
      </c>
      <c r="C14" s="11" t="n">
        <v>8000</v>
      </c>
      <c r="D14" s="93" t="n">
        <v>1</v>
      </c>
      <c r="E14" s="94" t="n">
        <f aca="false">C14*D14</f>
        <v>8000</v>
      </c>
      <c r="F14" s="95" t="s">
        <v>211</v>
      </c>
      <c r="G14" s="12" t="s">
        <v>543</v>
      </c>
    </row>
    <row r="15" customFormat="false" ht="18" hidden="false" customHeight="true" outlineLevel="0" collapsed="false">
      <c r="B15" s="68" t="s">
        <v>544</v>
      </c>
      <c r="C15" s="8" t="n">
        <v>3000</v>
      </c>
      <c r="D15" s="69" t="n">
        <v>1</v>
      </c>
      <c r="E15" s="70" t="n">
        <f aca="false">C15*D15</f>
        <v>3000</v>
      </c>
      <c r="F15" s="71" t="s">
        <v>211</v>
      </c>
      <c r="G15" s="9" t="s">
        <v>545</v>
      </c>
    </row>
    <row r="16" customFormat="false" ht="18" hidden="false" customHeight="true" outlineLevel="0" collapsed="false">
      <c r="B16" s="10" t="s">
        <v>546</v>
      </c>
      <c r="C16" s="11" t="n">
        <v>70</v>
      </c>
      <c r="D16" s="93" t="n">
        <v>40</v>
      </c>
      <c r="E16" s="94" t="n">
        <f aca="false">C16*D16</f>
        <v>2800</v>
      </c>
      <c r="F16" s="95" t="s">
        <v>211</v>
      </c>
      <c r="G16" s="12" t="s">
        <v>547</v>
      </c>
    </row>
    <row r="17" customFormat="false" ht="18" hidden="false" customHeight="true" outlineLevel="0" collapsed="false">
      <c r="B17" s="68" t="s">
        <v>548</v>
      </c>
      <c r="C17" s="8" t="n">
        <v>650</v>
      </c>
      <c r="D17" s="69" t="n">
        <v>8</v>
      </c>
      <c r="E17" s="70" t="n">
        <f aca="false">C17*D17</f>
        <v>5200</v>
      </c>
      <c r="F17" s="71" t="s">
        <v>211</v>
      </c>
      <c r="G17" s="9" t="s">
        <v>549</v>
      </c>
    </row>
    <row r="18" customFormat="false" ht="18" hidden="false" customHeight="true" outlineLevel="0" collapsed="false">
      <c r="B18" s="10" t="s">
        <v>550</v>
      </c>
      <c r="C18" s="11" t="n">
        <v>2800</v>
      </c>
      <c r="D18" s="93" t="n">
        <v>10</v>
      </c>
      <c r="E18" s="94" t="n">
        <f aca="false">C18*D18</f>
        <v>28000</v>
      </c>
      <c r="F18" s="95" t="s">
        <v>211</v>
      </c>
      <c r="G18" s="12" t="s">
        <v>551</v>
      </c>
    </row>
    <row r="19" customFormat="false" ht="18" hidden="false" customHeight="true" outlineLevel="0" collapsed="false">
      <c r="B19" s="68" t="s">
        <v>552</v>
      </c>
      <c r="C19" s="8" t="n">
        <v>400</v>
      </c>
      <c r="D19" s="69" t="n">
        <v>5</v>
      </c>
      <c r="E19" s="70" t="n">
        <f aca="false">C19*D19</f>
        <v>2000</v>
      </c>
      <c r="F19" s="71" t="s">
        <v>211</v>
      </c>
      <c r="G19" s="9" t="s">
        <v>553</v>
      </c>
    </row>
    <row r="20" customFormat="false" ht="18" hidden="false" customHeight="true" outlineLevel="0" collapsed="false">
      <c r="B20" s="10" t="s">
        <v>554</v>
      </c>
      <c r="C20" s="11" t="n">
        <v>900</v>
      </c>
      <c r="D20" s="93" t="n">
        <v>4</v>
      </c>
      <c r="E20" s="94" t="n">
        <f aca="false">C20*D20</f>
        <v>3600</v>
      </c>
      <c r="F20" s="95" t="s">
        <v>218</v>
      </c>
      <c r="G20" s="12" t="s">
        <v>555</v>
      </c>
    </row>
    <row r="21" customFormat="false" ht="18" hidden="false" customHeight="true" outlineLevel="0" collapsed="false">
      <c r="B21" s="68" t="s">
        <v>556</v>
      </c>
      <c r="C21" s="8" t="n">
        <v>2800</v>
      </c>
      <c r="D21" s="69" t="n">
        <v>4</v>
      </c>
      <c r="E21" s="70" t="n">
        <f aca="false">C21*D21</f>
        <v>11200</v>
      </c>
      <c r="F21" s="71" t="s">
        <v>211</v>
      </c>
      <c r="G21" s="9" t="s">
        <v>557</v>
      </c>
    </row>
    <row r="22" customFormat="false" ht="21.75" hidden="false" customHeight="true" outlineLevel="0" collapsed="false">
      <c r="B22" s="59" t="s">
        <v>558</v>
      </c>
      <c r="C22" s="72"/>
      <c r="D22" s="72"/>
      <c r="E22" s="73" t="n">
        <f aca="false">SUM(E5:E21)</f>
        <v>148000</v>
      </c>
      <c r="F22" s="74"/>
      <c r="G22" s="74"/>
    </row>
    <row r="24" customFormat="false" ht="25.5" hidden="false" customHeight="true" outlineLevel="0" collapsed="false">
      <c r="B24" s="66" t="s">
        <v>559</v>
      </c>
      <c r="C24" s="66"/>
      <c r="D24" s="66"/>
      <c r="E24" s="66"/>
      <c r="F24" s="66"/>
      <c r="G24" s="66"/>
    </row>
    <row r="25" customFormat="false" ht="21.75" hidden="false" customHeight="true" outlineLevel="0" collapsed="false">
      <c r="B25" s="67" t="s">
        <v>204</v>
      </c>
      <c r="C25" s="67" t="s">
        <v>205</v>
      </c>
      <c r="D25" s="67" t="s">
        <v>206</v>
      </c>
      <c r="E25" s="67" t="s">
        <v>207</v>
      </c>
      <c r="F25" s="67" t="s">
        <v>208</v>
      </c>
      <c r="G25" s="67" t="s">
        <v>209</v>
      </c>
    </row>
    <row r="26" customFormat="false" ht="18" hidden="false" customHeight="true" outlineLevel="0" collapsed="false">
      <c r="B26" s="68" t="s">
        <v>560</v>
      </c>
      <c r="C26" s="8" t="n">
        <v>12</v>
      </c>
      <c r="D26" s="69" t="n">
        <v>500</v>
      </c>
      <c r="E26" s="70" t="n">
        <f aca="false">C26*D26</f>
        <v>6000</v>
      </c>
      <c r="F26" s="71" t="s">
        <v>211</v>
      </c>
      <c r="G26" s="9" t="s">
        <v>561</v>
      </c>
    </row>
    <row r="27" customFormat="false" ht="18" hidden="false" customHeight="true" outlineLevel="0" collapsed="false">
      <c r="B27" s="10" t="s">
        <v>562</v>
      </c>
      <c r="C27" s="11" t="n">
        <v>18</v>
      </c>
      <c r="D27" s="93" t="n">
        <v>300</v>
      </c>
      <c r="E27" s="94" t="n">
        <f aca="false">C27*D27</f>
        <v>5400</v>
      </c>
      <c r="F27" s="95" t="s">
        <v>211</v>
      </c>
      <c r="G27" s="12" t="s">
        <v>563</v>
      </c>
    </row>
    <row r="28" customFormat="false" ht="18" hidden="false" customHeight="true" outlineLevel="0" collapsed="false">
      <c r="B28" s="68" t="s">
        <v>564</v>
      </c>
      <c r="C28" s="8" t="n">
        <v>8</v>
      </c>
      <c r="D28" s="69" t="n">
        <v>300</v>
      </c>
      <c r="E28" s="70" t="n">
        <f aca="false">C28*D28</f>
        <v>2400</v>
      </c>
      <c r="F28" s="71" t="s">
        <v>211</v>
      </c>
      <c r="G28" s="9" t="s">
        <v>565</v>
      </c>
    </row>
    <row r="29" customFormat="false" ht="18" hidden="false" customHeight="true" outlineLevel="0" collapsed="false">
      <c r="B29" s="10" t="s">
        <v>566</v>
      </c>
      <c r="C29" s="11" t="n">
        <v>15</v>
      </c>
      <c r="D29" s="93" t="n">
        <v>200</v>
      </c>
      <c r="E29" s="94" t="n">
        <f aca="false">C29*D29</f>
        <v>3000</v>
      </c>
      <c r="F29" s="95" t="s">
        <v>211</v>
      </c>
      <c r="G29" s="12" t="s">
        <v>567</v>
      </c>
    </row>
    <row r="30" customFormat="false" ht="18" hidden="false" customHeight="true" outlineLevel="0" collapsed="false">
      <c r="B30" s="68" t="s">
        <v>568</v>
      </c>
      <c r="C30" s="8" t="n">
        <v>1200</v>
      </c>
      <c r="D30" s="69" t="n">
        <v>2</v>
      </c>
      <c r="E30" s="70" t="n">
        <f aca="false">C30*D30</f>
        <v>2400</v>
      </c>
      <c r="F30" s="71" t="s">
        <v>218</v>
      </c>
      <c r="G30" s="9" t="s">
        <v>569</v>
      </c>
    </row>
    <row r="31" customFormat="false" ht="18" hidden="false" customHeight="true" outlineLevel="0" collapsed="false">
      <c r="B31" s="10" t="s">
        <v>570</v>
      </c>
      <c r="C31" s="11" t="n">
        <v>800</v>
      </c>
      <c r="D31" s="93" t="n">
        <v>3</v>
      </c>
      <c r="E31" s="94" t="n">
        <f aca="false">C31*D31</f>
        <v>2400</v>
      </c>
      <c r="F31" s="95" t="s">
        <v>211</v>
      </c>
      <c r="G31" s="12" t="s">
        <v>571</v>
      </c>
    </row>
    <row r="32" customFormat="false" ht="18" hidden="false" customHeight="true" outlineLevel="0" collapsed="false">
      <c r="B32" s="68" t="s">
        <v>572</v>
      </c>
      <c r="C32" s="8" t="n">
        <v>3500</v>
      </c>
      <c r="D32" s="69" t="n">
        <v>1</v>
      </c>
      <c r="E32" s="70" t="n">
        <f aca="false">C32*D32</f>
        <v>3500</v>
      </c>
      <c r="F32" s="71" t="s">
        <v>211</v>
      </c>
      <c r="G32" s="9" t="s">
        <v>573</v>
      </c>
    </row>
    <row r="33" customFormat="false" ht="18" hidden="false" customHeight="true" outlineLevel="0" collapsed="false">
      <c r="B33" s="10" t="s">
        <v>574</v>
      </c>
      <c r="C33" s="11" t="n">
        <v>350</v>
      </c>
      <c r="D33" s="93" t="n">
        <v>6</v>
      </c>
      <c r="E33" s="94" t="n">
        <f aca="false">C33*D33</f>
        <v>2100</v>
      </c>
      <c r="F33" s="95" t="s">
        <v>211</v>
      </c>
      <c r="G33" s="12" t="s">
        <v>575</v>
      </c>
    </row>
    <row r="34" customFormat="false" ht="18" hidden="false" customHeight="true" outlineLevel="0" collapsed="false">
      <c r="B34" s="68" t="s">
        <v>576</v>
      </c>
      <c r="C34" s="8" t="n">
        <v>500</v>
      </c>
      <c r="D34" s="69" t="n">
        <v>3</v>
      </c>
      <c r="E34" s="70" t="n">
        <f aca="false">C34*D34</f>
        <v>1500</v>
      </c>
      <c r="F34" s="71" t="s">
        <v>211</v>
      </c>
      <c r="G34" s="9" t="s">
        <v>577</v>
      </c>
    </row>
    <row r="35" customFormat="false" ht="18" hidden="false" customHeight="true" outlineLevel="0" collapsed="false">
      <c r="B35" s="10" t="s">
        <v>578</v>
      </c>
      <c r="C35" s="11" t="n">
        <v>700</v>
      </c>
      <c r="D35" s="93" t="n">
        <v>2</v>
      </c>
      <c r="E35" s="94" t="n">
        <f aca="false">C35*D35</f>
        <v>1400</v>
      </c>
      <c r="F35" s="95" t="s">
        <v>211</v>
      </c>
      <c r="G35" s="12" t="s">
        <v>579</v>
      </c>
    </row>
    <row r="36" customFormat="false" ht="18" hidden="false" customHeight="true" outlineLevel="0" collapsed="false">
      <c r="B36" s="68" t="s">
        <v>580</v>
      </c>
      <c r="C36" s="8" t="n">
        <v>4000</v>
      </c>
      <c r="D36" s="69" t="n">
        <v>6</v>
      </c>
      <c r="E36" s="70" t="n">
        <f aca="false">C36*D36</f>
        <v>24000</v>
      </c>
      <c r="F36" s="71" t="s">
        <v>211</v>
      </c>
      <c r="G36" s="9" t="s">
        <v>581</v>
      </c>
    </row>
    <row r="37" customFormat="false" ht="21.75" hidden="false" customHeight="true" outlineLevel="0" collapsed="false">
      <c r="B37" s="59" t="s">
        <v>582</v>
      </c>
      <c r="C37" s="72"/>
      <c r="D37" s="72"/>
      <c r="E37" s="73" t="n">
        <f aca="false">SUM(E26:E36)</f>
        <v>54100</v>
      </c>
      <c r="F37" s="74"/>
      <c r="G37" s="74"/>
    </row>
    <row r="39" customFormat="false" ht="25.5" hidden="false" customHeight="true" outlineLevel="0" collapsed="false">
      <c r="B39" s="66" t="s">
        <v>583</v>
      </c>
      <c r="C39" s="66"/>
      <c r="D39" s="66"/>
      <c r="E39" s="66"/>
      <c r="F39" s="66"/>
      <c r="G39" s="66"/>
    </row>
    <row r="40" customFormat="false" ht="21.75" hidden="false" customHeight="true" outlineLevel="0" collapsed="false">
      <c r="B40" s="67" t="s">
        <v>204</v>
      </c>
      <c r="C40" s="67" t="s">
        <v>205</v>
      </c>
      <c r="D40" s="67" t="s">
        <v>206</v>
      </c>
      <c r="E40" s="67" t="s">
        <v>207</v>
      </c>
      <c r="F40" s="67" t="s">
        <v>208</v>
      </c>
      <c r="G40" s="67" t="s">
        <v>209</v>
      </c>
    </row>
    <row r="41" customFormat="false" ht="18" hidden="false" customHeight="true" outlineLevel="0" collapsed="false">
      <c r="B41" s="68" t="s">
        <v>584</v>
      </c>
      <c r="C41" s="8" t="n">
        <v>15000</v>
      </c>
      <c r="D41" s="69" t="n">
        <v>1</v>
      </c>
      <c r="E41" s="70" t="n">
        <f aca="false">C41*D41</f>
        <v>15000</v>
      </c>
      <c r="F41" s="71" t="s">
        <v>211</v>
      </c>
      <c r="G41" s="9" t="s">
        <v>585</v>
      </c>
    </row>
    <row r="42" customFormat="false" ht="18" hidden="false" customHeight="true" outlineLevel="0" collapsed="false">
      <c r="B42" s="10" t="s">
        <v>586</v>
      </c>
      <c r="C42" s="11" t="n">
        <v>5000</v>
      </c>
      <c r="D42" s="93" t="n">
        <v>1</v>
      </c>
      <c r="E42" s="94" t="n">
        <f aca="false">C42*D42</f>
        <v>5000</v>
      </c>
      <c r="F42" s="95" t="s">
        <v>211</v>
      </c>
      <c r="G42" s="12" t="s">
        <v>587</v>
      </c>
    </row>
    <row r="43" customFormat="false" ht="18" hidden="false" customHeight="true" outlineLevel="0" collapsed="false">
      <c r="B43" s="68" t="s">
        <v>588</v>
      </c>
      <c r="C43" s="8" t="n">
        <v>4000</v>
      </c>
      <c r="D43" s="69" t="n">
        <v>1</v>
      </c>
      <c r="E43" s="70" t="n">
        <f aca="false">C43*D43</f>
        <v>4000</v>
      </c>
      <c r="F43" s="71" t="s">
        <v>211</v>
      </c>
      <c r="G43" s="9" t="s">
        <v>589</v>
      </c>
    </row>
    <row r="44" customFormat="false" ht="18" hidden="false" customHeight="true" outlineLevel="0" collapsed="false">
      <c r="B44" s="10" t="s">
        <v>590</v>
      </c>
      <c r="C44" s="11" t="n">
        <v>8000</v>
      </c>
      <c r="D44" s="93" t="n">
        <v>1</v>
      </c>
      <c r="E44" s="94" t="n">
        <f aca="false">C44*D44</f>
        <v>8000</v>
      </c>
      <c r="F44" s="95" t="s">
        <v>211</v>
      </c>
      <c r="G44" s="12" t="s">
        <v>591</v>
      </c>
    </row>
    <row r="45" customFormat="false" ht="18" hidden="false" customHeight="true" outlineLevel="0" collapsed="false">
      <c r="B45" s="68" t="s">
        <v>592</v>
      </c>
      <c r="C45" s="8" t="n">
        <v>3500</v>
      </c>
      <c r="D45" s="69" t="n">
        <v>1</v>
      </c>
      <c r="E45" s="70" t="n">
        <f aca="false">C45*D45</f>
        <v>3500</v>
      </c>
      <c r="F45" s="71" t="s">
        <v>211</v>
      </c>
      <c r="G45" s="9" t="s">
        <v>593</v>
      </c>
    </row>
    <row r="46" customFormat="false" ht="18" hidden="false" customHeight="true" outlineLevel="0" collapsed="false">
      <c r="B46" s="10" t="s">
        <v>594</v>
      </c>
      <c r="C46" s="11" t="n">
        <v>1500</v>
      </c>
      <c r="D46" s="93" t="n">
        <v>1</v>
      </c>
      <c r="E46" s="94" t="n">
        <f aca="false">C46*D46</f>
        <v>1500</v>
      </c>
      <c r="F46" s="95" t="s">
        <v>211</v>
      </c>
      <c r="G46" s="12" t="s">
        <v>595</v>
      </c>
    </row>
    <row r="47" customFormat="false" ht="18" hidden="false" customHeight="true" outlineLevel="0" collapsed="false">
      <c r="B47" s="68" t="s">
        <v>596</v>
      </c>
      <c r="C47" s="8" t="n">
        <v>20000</v>
      </c>
      <c r="D47" s="69" t="n">
        <v>1</v>
      </c>
      <c r="E47" s="70" t="n">
        <f aca="false">C47*D47</f>
        <v>20000</v>
      </c>
      <c r="F47" s="71" t="s">
        <v>211</v>
      </c>
      <c r="G47" s="9" t="s">
        <v>597</v>
      </c>
    </row>
    <row r="48" customFormat="false" ht="18" hidden="false" customHeight="true" outlineLevel="0" collapsed="false">
      <c r="B48" s="10" t="s">
        <v>598</v>
      </c>
      <c r="C48" s="11" t="n">
        <v>5000</v>
      </c>
      <c r="D48" s="93" t="n">
        <v>1</v>
      </c>
      <c r="E48" s="94" t="n">
        <f aca="false">C48*D48</f>
        <v>5000</v>
      </c>
      <c r="F48" s="95" t="s">
        <v>211</v>
      </c>
      <c r="G48" s="12" t="s">
        <v>599</v>
      </c>
    </row>
    <row r="49" customFormat="false" ht="18" hidden="false" customHeight="true" outlineLevel="0" collapsed="false">
      <c r="B49" s="68" t="s">
        <v>600</v>
      </c>
      <c r="C49" s="8" t="n">
        <v>1500</v>
      </c>
      <c r="D49" s="69" t="n">
        <v>1</v>
      </c>
      <c r="E49" s="70" t="n">
        <f aca="false">C49*D49</f>
        <v>1500</v>
      </c>
      <c r="F49" s="71" t="s">
        <v>211</v>
      </c>
      <c r="G49" s="9" t="s">
        <v>601</v>
      </c>
    </row>
    <row r="50" customFormat="false" ht="18" hidden="false" customHeight="true" outlineLevel="0" collapsed="false">
      <c r="B50" s="10" t="s">
        <v>602</v>
      </c>
      <c r="C50" s="11" t="n">
        <v>9000</v>
      </c>
      <c r="D50" s="93" t="n">
        <v>1</v>
      </c>
      <c r="E50" s="94" t="n">
        <f aca="false">C50*D50</f>
        <v>9000</v>
      </c>
      <c r="F50" s="95" t="s">
        <v>211</v>
      </c>
      <c r="G50" s="12" t="s">
        <v>603</v>
      </c>
    </row>
    <row r="51" customFormat="false" ht="21.75" hidden="false" customHeight="true" outlineLevel="0" collapsed="false">
      <c r="B51" s="59" t="s">
        <v>604</v>
      </c>
      <c r="C51" s="72"/>
      <c r="D51" s="72"/>
      <c r="E51" s="73" t="n">
        <f aca="false">SUM(E41:E50)</f>
        <v>72500</v>
      </c>
      <c r="F51" s="74"/>
      <c r="G51" s="74"/>
    </row>
    <row r="53" customFormat="false" ht="25.5" hidden="false" customHeight="true" outlineLevel="0" collapsed="false">
      <c r="B53" s="66" t="s">
        <v>605</v>
      </c>
      <c r="C53" s="66"/>
      <c r="D53" s="66"/>
      <c r="E53" s="66"/>
      <c r="F53" s="66"/>
      <c r="G53" s="66"/>
    </row>
    <row r="54" customFormat="false" ht="21.75" hidden="false" customHeight="true" outlineLevel="0" collapsed="false">
      <c r="B54" s="67" t="s">
        <v>204</v>
      </c>
      <c r="C54" s="67" t="s">
        <v>205</v>
      </c>
      <c r="D54" s="67" t="s">
        <v>206</v>
      </c>
      <c r="E54" s="67" t="s">
        <v>207</v>
      </c>
      <c r="F54" s="67" t="s">
        <v>208</v>
      </c>
      <c r="G54" s="67" t="s">
        <v>209</v>
      </c>
    </row>
    <row r="55" customFormat="false" ht="18" hidden="false" customHeight="true" outlineLevel="0" collapsed="false">
      <c r="B55" s="68" t="s">
        <v>606</v>
      </c>
      <c r="C55" s="8" t="n">
        <v>18000</v>
      </c>
      <c r="D55" s="69" t="n">
        <v>1</v>
      </c>
      <c r="E55" s="70" t="n">
        <f aca="false">C55*D55</f>
        <v>18000</v>
      </c>
      <c r="F55" s="71" t="s">
        <v>211</v>
      </c>
      <c r="G55" s="9" t="s">
        <v>607</v>
      </c>
    </row>
    <row r="56" customFormat="false" ht="18" hidden="false" customHeight="true" outlineLevel="0" collapsed="false">
      <c r="B56" s="10" t="s">
        <v>608</v>
      </c>
      <c r="C56" s="11" t="n">
        <v>25000</v>
      </c>
      <c r="D56" s="93" t="n">
        <v>1</v>
      </c>
      <c r="E56" s="94" t="n">
        <f aca="false">C56*D56</f>
        <v>25000</v>
      </c>
      <c r="F56" s="95" t="s">
        <v>211</v>
      </c>
      <c r="G56" s="12" t="s">
        <v>609</v>
      </c>
    </row>
    <row r="57" customFormat="false" ht="18" hidden="false" customHeight="true" outlineLevel="0" collapsed="false">
      <c r="B57" s="68" t="s">
        <v>610</v>
      </c>
      <c r="C57" s="8" t="n">
        <v>12000</v>
      </c>
      <c r="D57" s="69" t="n">
        <v>1</v>
      </c>
      <c r="E57" s="70" t="n">
        <f aca="false">C57*D57</f>
        <v>12000</v>
      </c>
      <c r="F57" s="71" t="s">
        <v>211</v>
      </c>
      <c r="G57" s="9" t="s">
        <v>611</v>
      </c>
    </row>
    <row r="58" customFormat="false" ht="18" hidden="false" customHeight="true" outlineLevel="0" collapsed="false">
      <c r="B58" s="10" t="s">
        <v>612</v>
      </c>
      <c r="C58" s="11" t="n">
        <v>10000</v>
      </c>
      <c r="D58" s="93" t="n">
        <v>3</v>
      </c>
      <c r="E58" s="94" t="n">
        <f aca="false">C58*D58</f>
        <v>30000</v>
      </c>
      <c r="F58" s="95" t="s">
        <v>218</v>
      </c>
      <c r="G58" s="12" t="s">
        <v>613</v>
      </c>
    </row>
    <row r="59" customFormat="false" ht="18" hidden="false" customHeight="true" outlineLevel="0" collapsed="false">
      <c r="B59" s="68" t="s">
        <v>614</v>
      </c>
      <c r="C59" s="8" t="n">
        <v>6000</v>
      </c>
      <c r="D59" s="69" t="n">
        <v>1</v>
      </c>
      <c r="E59" s="70" t="n">
        <f aca="false">C59*D59</f>
        <v>6000</v>
      </c>
      <c r="F59" s="71" t="s">
        <v>211</v>
      </c>
      <c r="G59" s="9" t="s">
        <v>615</v>
      </c>
    </row>
    <row r="60" customFormat="false" ht="18" hidden="false" customHeight="true" outlineLevel="0" collapsed="false">
      <c r="B60" s="10" t="s">
        <v>616</v>
      </c>
      <c r="C60" s="11" t="n">
        <v>2000</v>
      </c>
      <c r="D60" s="93" t="n">
        <v>1</v>
      </c>
      <c r="E60" s="94" t="n">
        <f aca="false">C60*D60</f>
        <v>2000</v>
      </c>
      <c r="F60" s="95" t="s">
        <v>211</v>
      </c>
      <c r="G60" s="12" t="s">
        <v>617</v>
      </c>
    </row>
    <row r="61" customFormat="false" ht="18" hidden="false" customHeight="true" outlineLevel="0" collapsed="false">
      <c r="B61" s="68" t="s">
        <v>618</v>
      </c>
      <c r="C61" s="8" t="n">
        <v>10000</v>
      </c>
      <c r="D61" s="69" t="n">
        <v>1</v>
      </c>
      <c r="E61" s="70" t="n">
        <f aca="false">C61*D61</f>
        <v>10000</v>
      </c>
      <c r="F61" s="71" t="s">
        <v>211</v>
      </c>
      <c r="G61" s="9" t="s">
        <v>619</v>
      </c>
    </row>
    <row r="62" customFormat="false" ht="18" hidden="false" customHeight="true" outlineLevel="0" collapsed="false">
      <c r="B62" s="10" t="s">
        <v>620</v>
      </c>
      <c r="C62" s="11" t="n">
        <v>0</v>
      </c>
      <c r="D62" s="93" t="n">
        <v>1</v>
      </c>
      <c r="E62" s="94" t="n">
        <f aca="false">C62*D62</f>
        <v>0</v>
      </c>
      <c r="F62" s="95" t="s">
        <v>211</v>
      </c>
      <c r="G62" s="12" t="s">
        <v>621</v>
      </c>
    </row>
    <row r="63" customFormat="false" ht="18" hidden="false" customHeight="true" outlineLevel="0" collapsed="false">
      <c r="B63" s="68" t="s">
        <v>622</v>
      </c>
      <c r="C63" s="8" t="n">
        <v>2500</v>
      </c>
      <c r="D63" s="69" t="n">
        <v>8</v>
      </c>
      <c r="E63" s="70" t="n">
        <f aca="false">C63*D63</f>
        <v>20000</v>
      </c>
      <c r="F63" s="71" t="s">
        <v>211</v>
      </c>
      <c r="G63" s="9" t="s">
        <v>623</v>
      </c>
    </row>
    <row r="64" customFormat="false" ht="18" hidden="false" customHeight="true" outlineLevel="0" collapsed="false">
      <c r="B64" s="10" t="s">
        <v>624</v>
      </c>
      <c r="C64" s="11" t="n">
        <v>5000</v>
      </c>
      <c r="D64" s="93" t="n">
        <v>1</v>
      </c>
      <c r="E64" s="94" t="n">
        <f aca="false">C64*D64</f>
        <v>5000</v>
      </c>
      <c r="F64" s="95" t="s">
        <v>218</v>
      </c>
      <c r="G64" s="12" t="s">
        <v>625</v>
      </c>
    </row>
    <row r="65" customFormat="false" ht="21.75" hidden="false" customHeight="true" outlineLevel="0" collapsed="false">
      <c r="B65" s="59" t="s">
        <v>626</v>
      </c>
      <c r="C65" s="72"/>
      <c r="D65" s="72"/>
      <c r="E65" s="73" t="n">
        <f aca="false">SUM(E55:E64)</f>
        <v>128000</v>
      </c>
      <c r="F65" s="74"/>
      <c r="G65" s="74"/>
    </row>
    <row r="67" customFormat="false" ht="30" hidden="false" customHeight="true" outlineLevel="0" collapsed="false">
      <c r="B67" s="81" t="s">
        <v>627</v>
      </c>
      <c r="C67" s="81"/>
      <c r="D67" s="81"/>
      <c r="E67" s="82" t="n">
        <f aca="false">SUM(E5:E64)</f>
        <v>677200</v>
      </c>
      <c r="F67" s="83"/>
      <c r="G67" s="83"/>
    </row>
  </sheetData>
  <mergeCells count="10">
    <mergeCell ref="B1:G1"/>
    <mergeCell ref="B3:G3"/>
    <mergeCell ref="C22:D22"/>
    <mergeCell ref="B24:G24"/>
    <mergeCell ref="C37:D37"/>
    <mergeCell ref="B39:G39"/>
    <mergeCell ref="C51:D51"/>
    <mergeCell ref="B53:G53"/>
    <mergeCell ref="C65:D65"/>
    <mergeCell ref="B67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4"/>
  </cols>
  <sheetData>
    <row r="1" customFormat="false" ht="36" hidden="false" customHeight="true" outlineLevel="0" collapsed="false">
      <c r="B1" s="106" t="s">
        <v>628</v>
      </c>
      <c r="C1" s="106"/>
      <c r="D1" s="106"/>
      <c r="E1" s="106"/>
      <c r="F1" s="106"/>
    </row>
    <row r="2" customFormat="false" ht="19.5" hidden="false" customHeight="true" outlineLevel="0" collapsed="false">
      <c r="B2" s="24" t="s">
        <v>629</v>
      </c>
      <c r="C2" s="24"/>
      <c r="D2" s="24"/>
      <c r="E2" s="24"/>
      <c r="F2" s="24"/>
    </row>
    <row r="4" customFormat="false" ht="24" hidden="false" customHeight="true" outlineLevel="0" collapsed="false">
      <c r="B4" s="107" t="s">
        <v>630</v>
      </c>
      <c r="C4" s="107" t="s">
        <v>631</v>
      </c>
      <c r="D4" s="107" t="s">
        <v>632</v>
      </c>
      <c r="E4" s="107" t="s">
        <v>633</v>
      </c>
      <c r="F4" s="107" t="s">
        <v>8</v>
      </c>
    </row>
    <row r="5" customFormat="false" ht="21.75" hidden="false" customHeight="true" outlineLevel="0" collapsed="false">
      <c r="B5" s="108" t="s">
        <v>634</v>
      </c>
      <c r="C5" s="108"/>
      <c r="D5" s="108"/>
      <c r="E5" s="108"/>
      <c r="F5" s="108"/>
    </row>
    <row r="6" customFormat="false" ht="18" hidden="false" customHeight="true" outlineLevel="0" collapsed="false">
      <c r="B6" s="68" t="s">
        <v>635</v>
      </c>
      <c r="C6" s="8" t="n">
        <v>150000</v>
      </c>
      <c r="D6" s="8" t="n">
        <v>220000</v>
      </c>
      <c r="E6" s="8" t="n">
        <v>310000</v>
      </c>
      <c r="F6" s="9" t="s">
        <v>636</v>
      </c>
    </row>
    <row r="7" customFormat="false" ht="18" hidden="false" customHeight="true" outlineLevel="0" collapsed="false">
      <c r="B7" s="68" t="s">
        <v>637</v>
      </c>
      <c r="C7" s="8" t="n">
        <v>45000</v>
      </c>
      <c r="D7" s="8" t="n">
        <v>80000</v>
      </c>
      <c r="E7" s="8" t="n">
        <v>130000</v>
      </c>
      <c r="F7" s="9" t="s">
        <v>638</v>
      </c>
    </row>
    <row r="8" customFormat="false" ht="18" hidden="false" customHeight="true" outlineLevel="0" collapsed="false">
      <c r="B8" s="68" t="s">
        <v>639</v>
      </c>
      <c r="C8" s="8" t="n">
        <v>20000</v>
      </c>
      <c r="D8" s="8" t="n">
        <v>40000</v>
      </c>
      <c r="E8" s="8" t="n">
        <v>70000</v>
      </c>
      <c r="F8" s="9" t="s">
        <v>640</v>
      </c>
    </row>
    <row r="9" customFormat="false" ht="18" hidden="false" customHeight="true" outlineLevel="0" collapsed="false">
      <c r="B9" s="68" t="s">
        <v>641</v>
      </c>
      <c r="C9" s="8" t="n">
        <v>30000</v>
      </c>
      <c r="D9" s="8" t="n">
        <v>60000</v>
      </c>
      <c r="E9" s="8" t="n">
        <v>90000</v>
      </c>
      <c r="F9" s="9" t="s">
        <v>642</v>
      </c>
    </row>
    <row r="10" customFormat="false" ht="24" hidden="false" customHeight="true" outlineLevel="0" collapsed="false">
      <c r="B10" s="109" t="s">
        <v>643</v>
      </c>
      <c r="C10" s="110" t="n">
        <f aca="false">SUM(C6:C9)</f>
        <v>245000</v>
      </c>
      <c r="D10" s="110" t="n">
        <f aca="false">SUM(D6:D9)</f>
        <v>400000</v>
      </c>
      <c r="E10" s="110" t="n">
        <f aca="false">SUM(E6:E9)</f>
        <v>600000</v>
      </c>
      <c r="F10" s="111"/>
    </row>
    <row r="12" customFormat="false" ht="21.75" hidden="false" customHeight="true" outlineLevel="0" collapsed="false">
      <c r="B12" s="112" t="s">
        <v>644</v>
      </c>
      <c r="C12" s="112"/>
      <c r="D12" s="112"/>
      <c r="E12" s="112"/>
      <c r="F12" s="112"/>
    </row>
    <row r="13" customFormat="false" ht="18" hidden="false" customHeight="true" outlineLevel="0" collapsed="false">
      <c r="B13" s="68" t="s">
        <v>645</v>
      </c>
      <c r="C13" s="8" t="n">
        <v>93100</v>
      </c>
      <c r="D13" s="8" t="n">
        <v>136400</v>
      </c>
      <c r="E13" s="8" t="n">
        <v>228800</v>
      </c>
      <c r="F13" s="9" t="s">
        <v>646</v>
      </c>
    </row>
    <row r="14" customFormat="false" ht="18" hidden="false" customHeight="true" outlineLevel="0" collapsed="false">
      <c r="B14" s="68" t="s">
        <v>647</v>
      </c>
      <c r="C14" s="8" t="n">
        <v>12000</v>
      </c>
      <c r="D14" s="8" t="n">
        <v>18000</v>
      </c>
      <c r="E14" s="8" t="n">
        <v>25000</v>
      </c>
      <c r="F14" s="9" t="s">
        <v>648</v>
      </c>
    </row>
    <row r="15" customFormat="false" ht="18" hidden="false" customHeight="true" outlineLevel="0" collapsed="false">
      <c r="B15" s="68" t="s">
        <v>649</v>
      </c>
      <c r="C15" s="8" t="n">
        <v>12000</v>
      </c>
      <c r="D15" s="8" t="n">
        <v>15000</v>
      </c>
      <c r="E15" s="8" t="n">
        <v>18000</v>
      </c>
      <c r="F15" s="9" t="s">
        <v>650</v>
      </c>
    </row>
    <row r="16" customFormat="false" ht="18" hidden="false" customHeight="true" outlineLevel="0" collapsed="false">
      <c r="B16" s="68" t="s">
        <v>651</v>
      </c>
      <c r="C16" s="8" t="n">
        <v>11250</v>
      </c>
      <c r="D16" s="8" t="n">
        <v>20000</v>
      </c>
      <c r="E16" s="8" t="n">
        <v>32500</v>
      </c>
      <c r="F16" s="9" t="s">
        <v>652</v>
      </c>
    </row>
    <row r="17" customFormat="false" ht="24" hidden="false" customHeight="true" outlineLevel="0" collapsed="false">
      <c r="B17" s="113" t="s">
        <v>653</v>
      </c>
      <c r="C17" s="114" t="n">
        <f aca="false">SUM(C13:C16)</f>
        <v>128350</v>
      </c>
      <c r="D17" s="114" t="n">
        <f aca="false">SUM(D13:D16)</f>
        <v>189400</v>
      </c>
      <c r="E17" s="114" t="n">
        <f aca="false">SUM(E13:E16)</f>
        <v>304300</v>
      </c>
      <c r="F17" s="115"/>
    </row>
    <row r="18" customFormat="false" ht="24" hidden="false" customHeight="true" outlineLevel="0" collapsed="false">
      <c r="B18" s="116" t="s">
        <v>654</v>
      </c>
      <c r="C18" s="117" t="n">
        <f aca="false">C10-C17</f>
        <v>116650</v>
      </c>
      <c r="D18" s="117" t="n">
        <f aca="false">D10-D17</f>
        <v>210600</v>
      </c>
      <c r="E18" s="117" t="n">
        <f aca="false">E10-E17</f>
        <v>295700</v>
      </c>
      <c r="F18" s="118"/>
    </row>
    <row r="20" customFormat="false" ht="21.75" hidden="false" customHeight="true" outlineLevel="0" collapsed="false">
      <c r="B20" s="119" t="s">
        <v>655</v>
      </c>
      <c r="C20" s="119"/>
      <c r="D20" s="119"/>
      <c r="E20" s="119"/>
      <c r="F20" s="119"/>
    </row>
    <row r="21" customFormat="false" ht="18" hidden="false" customHeight="true" outlineLevel="0" collapsed="false">
      <c r="B21" s="68" t="s">
        <v>656</v>
      </c>
      <c r="C21" s="8" t="n">
        <v>210000</v>
      </c>
      <c r="D21" s="8" t="n">
        <v>210000</v>
      </c>
      <c r="E21" s="8" t="n">
        <v>220000</v>
      </c>
      <c r="F21" s="9" t="s">
        <v>657</v>
      </c>
    </row>
    <row r="22" customFormat="false" ht="18" hidden="false" customHeight="true" outlineLevel="0" collapsed="false">
      <c r="B22" s="68" t="s">
        <v>658</v>
      </c>
      <c r="C22" s="8" t="n">
        <v>40000</v>
      </c>
      <c r="D22" s="8" t="n">
        <v>40000</v>
      </c>
      <c r="E22" s="8" t="n">
        <v>40000</v>
      </c>
      <c r="F22" s="9" t="s">
        <v>659</v>
      </c>
    </row>
    <row r="23" customFormat="false" ht="18" hidden="false" customHeight="true" outlineLevel="0" collapsed="false">
      <c r="B23" s="68" t="s">
        <v>660</v>
      </c>
      <c r="C23" s="8" t="n">
        <v>35000</v>
      </c>
      <c r="D23" s="8" t="n">
        <v>35000</v>
      </c>
      <c r="E23" s="8" t="n">
        <v>35000</v>
      </c>
      <c r="F23" s="9" t="s">
        <v>661</v>
      </c>
    </row>
    <row r="24" customFormat="false" ht="18" hidden="false" customHeight="true" outlineLevel="0" collapsed="false">
      <c r="B24" s="68" t="s">
        <v>662</v>
      </c>
      <c r="C24" s="8" t="n">
        <v>20000</v>
      </c>
      <c r="D24" s="8" t="n">
        <v>20000</v>
      </c>
      <c r="E24" s="8" t="n">
        <v>22000</v>
      </c>
      <c r="F24" s="9" t="s">
        <v>663</v>
      </c>
    </row>
    <row r="25" customFormat="false" ht="18" hidden="false" customHeight="true" outlineLevel="0" collapsed="false">
      <c r="B25" s="68" t="s">
        <v>664</v>
      </c>
      <c r="C25" s="8" t="n">
        <v>5500</v>
      </c>
      <c r="D25" s="8" t="n">
        <v>5500</v>
      </c>
      <c r="E25" s="8" t="n">
        <v>5500</v>
      </c>
      <c r="F25" s="9" t="s">
        <v>665</v>
      </c>
    </row>
    <row r="26" customFormat="false" ht="18" hidden="false" customHeight="true" outlineLevel="0" collapsed="false">
      <c r="B26" s="68" t="s">
        <v>666</v>
      </c>
      <c r="C26" s="8" t="n">
        <v>5000</v>
      </c>
      <c r="D26" s="8" t="n">
        <v>5000</v>
      </c>
      <c r="E26" s="8" t="n">
        <v>5000</v>
      </c>
      <c r="F26" s="9" t="s">
        <v>667</v>
      </c>
    </row>
    <row r="27" customFormat="false" ht="18" hidden="false" customHeight="true" outlineLevel="0" collapsed="false">
      <c r="B27" s="68" t="s">
        <v>668</v>
      </c>
      <c r="C27" s="8" t="n">
        <v>5000</v>
      </c>
      <c r="D27" s="8" t="n">
        <v>5000</v>
      </c>
      <c r="E27" s="8" t="n">
        <v>6000</v>
      </c>
      <c r="F27" s="9" t="s">
        <v>669</v>
      </c>
    </row>
    <row r="28" customFormat="false" ht="18" hidden="false" customHeight="true" outlineLevel="0" collapsed="false">
      <c r="B28" s="68" t="s">
        <v>670</v>
      </c>
      <c r="C28" s="8" t="n">
        <v>3000</v>
      </c>
      <c r="D28" s="8" t="n">
        <v>3000</v>
      </c>
      <c r="E28" s="8" t="n">
        <v>3000</v>
      </c>
      <c r="F28" s="9" t="s">
        <v>671</v>
      </c>
    </row>
    <row r="29" customFormat="false" ht="18" hidden="false" customHeight="true" outlineLevel="0" collapsed="false">
      <c r="B29" s="68" t="s">
        <v>672</v>
      </c>
      <c r="C29" s="8" t="n">
        <v>15000</v>
      </c>
      <c r="D29" s="8" t="n">
        <v>12000</v>
      </c>
      <c r="E29" s="8" t="n">
        <v>10000</v>
      </c>
      <c r="F29" s="9" t="s">
        <v>673</v>
      </c>
    </row>
    <row r="30" customFormat="false" ht="18" hidden="false" customHeight="true" outlineLevel="0" collapsed="false">
      <c r="B30" s="68" t="s">
        <v>674</v>
      </c>
      <c r="C30" s="8" t="n">
        <v>8000</v>
      </c>
      <c r="D30" s="8" t="n">
        <v>8000</v>
      </c>
      <c r="E30" s="8" t="n">
        <v>8000</v>
      </c>
      <c r="F30" s="9" t="s">
        <v>675</v>
      </c>
    </row>
    <row r="31" customFormat="false" ht="24" hidden="false" customHeight="true" outlineLevel="0" collapsed="false">
      <c r="B31" s="120" t="s">
        <v>676</v>
      </c>
      <c r="C31" s="121" t="n">
        <f aca="false">SUM(C21:C30)</f>
        <v>346500</v>
      </c>
      <c r="D31" s="121" t="n">
        <f aca="false">SUM(D21:D30)</f>
        <v>343500</v>
      </c>
      <c r="E31" s="121" t="n">
        <f aca="false">SUM(E21:E30)</f>
        <v>354500</v>
      </c>
      <c r="F31" s="91"/>
    </row>
    <row r="32" customFormat="false" ht="27.75" hidden="false" customHeight="true" outlineLevel="0" collapsed="false">
      <c r="B32" s="16" t="s">
        <v>677</v>
      </c>
      <c r="C32" s="122" t="n">
        <f aca="false">C18-C31</f>
        <v>-229850</v>
      </c>
      <c r="D32" s="122" t="n">
        <f aca="false">D18-D31</f>
        <v>-132900</v>
      </c>
      <c r="E32" s="122" t="n">
        <f aca="false">E18-E31</f>
        <v>-58800</v>
      </c>
      <c r="F32" s="123" t="s">
        <v>678</v>
      </c>
    </row>
    <row r="34" customFormat="false" ht="15" hidden="false" customHeight="true" outlineLevel="0" collapsed="false">
      <c r="B34" s="22" t="s">
        <v>679</v>
      </c>
      <c r="C34" s="22"/>
      <c r="D34" s="22"/>
      <c r="E34" s="22"/>
      <c r="F34" s="22"/>
    </row>
  </sheetData>
  <mergeCells count="6">
    <mergeCell ref="B1:F1"/>
    <mergeCell ref="B2:F2"/>
    <mergeCell ref="B5:F5"/>
    <mergeCell ref="B12:F12"/>
    <mergeCell ref="B20:F20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24"/>
    <col collapsed="false" customWidth="true" hidden="false" outlineLevel="0" max="10" min="10" style="0" width="4"/>
  </cols>
  <sheetData>
    <row r="1" customFormat="false" ht="36" hidden="false" customHeight="true" outlineLevel="0" collapsed="false">
      <c r="B1" s="106" t="s">
        <v>680</v>
      </c>
      <c r="C1" s="106"/>
      <c r="D1" s="106"/>
      <c r="E1" s="106"/>
      <c r="F1" s="106"/>
      <c r="G1" s="106"/>
      <c r="H1" s="106"/>
      <c r="I1" s="106"/>
    </row>
    <row r="2" customFormat="false" ht="21.75" hidden="false" customHeight="true" outlineLevel="0" collapsed="false">
      <c r="B2" s="24" t="s">
        <v>681</v>
      </c>
      <c r="C2" s="24"/>
      <c r="D2" s="24"/>
      <c r="E2" s="24"/>
      <c r="F2" s="24"/>
      <c r="G2" s="24"/>
      <c r="H2" s="24"/>
      <c r="I2" s="24"/>
    </row>
    <row r="4" customFormat="false" ht="30" hidden="false" customHeight="true" outlineLevel="0" collapsed="false">
      <c r="B4" s="6" t="s">
        <v>682</v>
      </c>
      <c r="C4" s="6" t="s">
        <v>683</v>
      </c>
      <c r="D4" s="6" t="s">
        <v>684</v>
      </c>
      <c r="E4" s="6" t="s">
        <v>685</v>
      </c>
      <c r="F4" s="6" t="s">
        <v>686</v>
      </c>
      <c r="G4" s="6" t="s">
        <v>687</v>
      </c>
      <c r="H4" s="6" t="s">
        <v>688</v>
      </c>
      <c r="I4" s="6" t="s">
        <v>8</v>
      </c>
    </row>
    <row r="5" customFormat="false" ht="21.75" hidden="false" customHeight="true" outlineLevel="0" collapsed="false">
      <c r="B5" s="124" t="s">
        <v>689</v>
      </c>
      <c r="C5" s="124"/>
      <c r="D5" s="124"/>
      <c r="E5" s="124"/>
      <c r="F5" s="124"/>
      <c r="G5" s="124"/>
      <c r="H5" s="124"/>
      <c r="I5" s="124"/>
    </row>
    <row r="6" customFormat="false" ht="18" hidden="false" customHeight="true" outlineLevel="0" collapsed="false">
      <c r="B6" s="125" t="s">
        <v>690</v>
      </c>
      <c r="C6" s="49" t="s">
        <v>691</v>
      </c>
      <c r="D6" s="126" t="s">
        <v>692</v>
      </c>
      <c r="E6" s="46" t="n">
        <v>8</v>
      </c>
      <c r="F6" s="46" t="n">
        <v>7</v>
      </c>
      <c r="G6" s="127" t="n">
        <v>380</v>
      </c>
      <c r="H6" s="128" t="n">
        <f aca="false">E6*F6*G6</f>
        <v>21280</v>
      </c>
    </row>
    <row r="7" customFormat="false" ht="18" hidden="false" customHeight="true" outlineLevel="0" collapsed="false">
      <c r="B7" s="125" t="s">
        <v>693</v>
      </c>
      <c r="C7" s="49" t="s">
        <v>694</v>
      </c>
      <c r="D7" s="126" t="s">
        <v>692</v>
      </c>
      <c r="E7" s="46" t="n">
        <v>5</v>
      </c>
      <c r="F7" s="46" t="n">
        <v>4</v>
      </c>
      <c r="G7" s="127" t="n">
        <v>550</v>
      </c>
      <c r="H7" s="128" t="n">
        <f aca="false">E7*F7*G7</f>
        <v>11000</v>
      </c>
    </row>
    <row r="8" customFormat="false" ht="18" hidden="false" customHeight="true" outlineLevel="0" collapsed="false">
      <c r="B8" s="125" t="s">
        <v>695</v>
      </c>
      <c r="C8" s="49" t="s">
        <v>696</v>
      </c>
      <c r="D8" s="126" t="s">
        <v>692</v>
      </c>
      <c r="E8" s="46" t="n">
        <v>7</v>
      </c>
      <c r="F8" s="46" t="n">
        <v>7</v>
      </c>
      <c r="G8" s="127" t="n">
        <v>300</v>
      </c>
      <c r="H8" s="128" t="n">
        <f aca="false">E8*F8*G8</f>
        <v>14700</v>
      </c>
    </row>
    <row r="9" customFormat="false" ht="18" hidden="false" customHeight="true" outlineLevel="0" collapsed="false">
      <c r="B9" s="125" t="s">
        <v>697</v>
      </c>
      <c r="C9" s="49" t="s">
        <v>698</v>
      </c>
      <c r="D9" s="126" t="s">
        <v>692</v>
      </c>
      <c r="E9" s="46" t="n">
        <v>5</v>
      </c>
      <c r="F9" s="46" t="n">
        <v>3</v>
      </c>
      <c r="G9" s="127" t="n">
        <v>180</v>
      </c>
      <c r="H9" s="128" t="n">
        <f aca="false">E9*F9*G9</f>
        <v>2700</v>
      </c>
    </row>
    <row r="10" customFormat="false" ht="18" hidden="false" customHeight="true" outlineLevel="0" collapsed="false">
      <c r="B10" s="125" t="s">
        <v>699</v>
      </c>
      <c r="C10" s="49" t="s">
        <v>700</v>
      </c>
      <c r="D10" s="126" t="s">
        <v>692</v>
      </c>
      <c r="E10" s="46" t="n">
        <v>3</v>
      </c>
      <c r="F10" s="46" t="n">
        <v>3</v>
      </c>
      <c r="G10" s="127" t="n">
        <v>300</v>
      </c>
      <c r="H10" s="128" t="n">
        <f aca="false">E10*F10*G10</f>
        <v>2700</v>
      </c>
    </row>
    <row r="11" customFormat="false" ht="18" hidden="false" customHeight="true" outlineLevel="0" collapsed="false">
      <c r="B11" s="125" t="s">
        <v>701</v>
      </c>
      <c r="C11" s="49" t="s">
        <v>702</v>
      </c>
      <c r="D11" s="126" t="s">
        <v>692</v>
      </c>
      <c r="E11" s="46" t="n">
        <v>2</v>
      </c>
      <c r="F11" s="46" t="n">
        <v>7</v>
      </c>
      <c r="G11" s="127" t="n">
        <v>200</v>
      </c>
      <c r="H11" s="128" t="n">
        <f aca="false">E11*F11*G11</f>
        <v>2800</v>
      </c>
    </row>
    <row r="12" customFormat="false" ht="18" hidden="false" customHeight="true" outlineLevel="0" collapsed="false">
      <c r="B12" s="125" t="s">
        <v>703</v>
      </c>
      <c r="C12" s="49" t="s">
        <v>704</v>
      </c>
      <c r="D12" s="126" t="s">
        <v>692</v>
      </c>
      <c r="E12" s="46" t="n">
        <v>2</v>
      </c>
      <c r="F12" s="46" t="n">
        <v>7</v>
      </c>
      <c r="G12" s="127" t="n">
        <v>420</v>
      </c>
      <c r="H12" s="128" t="n">
        <f aca="false">E12*F12*G12</f>
        <v>5880</v>
      </c>
    </row>
    <row r="13" customFormat="false" ht="18" hidden="false" customHeight="true" outlineLevel="0" collapsed="false">
      <c r="B13" s="125" t="s">
        <v>705</v>
      </c>
      <c r="C13" s="49" t="s">
        <v>147</v>
      </c>
      <c r="D13" s="126" t="s">
        <v>706</v>
      </c>
      <c r="E13" s="46" t="n">
        <v>2</v>
      </c>
      <c r="F13" s="46" t="n">
        <v>7</v>
      </c>
      <c r="G13" s="127" t="n">
        <v>750</v>
      </c>
      <c r="H13" s="128" t="n">
        <f aca="false">E13*F13*G13</f>
        <v>10500</v>
      </c>
    </row>
    <row r="14" customFormat="false" ht="21.75" hidden="false" customHeight="true" outlineLevel="0" collapsed="false">
      <c r="B14" s="59" t="s">
        <v>707</v>
      </c>
      <c r="C14" s="129"/>
      <c r="D14" s="129"/>
      <c r="E14" s="129"/>
      <c r="F14" s="129"/>
      <c r="G14" s="129"/>
      <c r="H14" s="73" t="n">
        <f aca="false">SUM(H6:H13)</f>
        <v>71560</v>
      </c>
      <c r="I14" s="130"/>
    </row>
    <row r="16" customFormat="false" ht="21.75" hidden="false" customHeight="true" outlineLevel="0" collapsed="false">
      <c r="B16" s="131" t="s">
        <v>708</v>
      </c>
      <c r="C16" s="131"/>
      <c r="D16" s="131"/>
      <c r="E16" s="131"/>
      <c r="F16" s="131"/>
      <c r="G16" s="131"/>
      <c r="H16" s="131"/>
      <c r="I16" s="131"/>
    </row>
    <row r="17" customFormat="false" ht="18" hidden="false" customHeight="true" outlineLevel="0" collapsed="false">
      <c r="B17" s="132" t="s">
        <v>709</v>
      </c>
      <c r="C17" s="133" t="s">
        <v>710</v>
      </c>
      <c r="D17" s="134" t="s">
        <v>692</v>
      </c>
      <c r="E17" s="135" t="n">
        <v>30</v>
      </c>
      <c r="F17" s="135" t="n">
        <v>10</v>
      </c>
      <c r="G17" s="136" t="n">
        <v>80</v>
      </c>
      <c r="H17" s="137" t="n">
        <f aca="false">E17*F17*G17</f>
        <v>24000</v>
      </c>
    </row>
    <row r="18" customFormat="false" ht="18" hidden="false" customHeight="true" outlineLevel="0" collapsed="false">
      <c r="B18" s="132" t="s">
        <v>711</v>
      </c>
      <c r="C18" s="133" t="s">
        <v>712</v>
      </c>
      <c r="D18" s="134" t="s">
        <v>692</v>
      </c>
      <c r="E18" s="135" t="n">
        <v>5</v>
      </c>
      <c r="F18" s="135" t="n">
        <v>7</v>
      </c>
      <c r="G18" s="136" t="n">
        <v>120</v>
      </c>
      <c r="H18" s="137" t="n">
        <f aca="false">E18*F18*G18</f>
        <v>4200</v>
      </c>
    </row>
    <row r="19" customFormat="false" ht="18" hidden="false" customHeight="true" outlineLevel="0" collapsed="false">
      <c r="B19" s="132" t="s">
        <v>713</v>
      </c>
      <c r="C19" s="133" t="s">
        <v>714</v>
      </c>
      <c r="D19" s="134" t="s">
        <v>692</v>
      </c>
      <c r="E19" s="135" t="n">
        <v>10</v>
      </c>
      <c r="F19" s="135" t="n">
        <v>7</v>
      </c>
      <c r="G19" s="136" t="n">
        <v>200</v>
      </c>
      <c r="H19" s="137" t="n">
        <f aca="false">E19*F19*G19</f>
        <v>14000</v>
      </c>
    </row>
    <row r="20" customFormat="false" ht="18" hidden="false" customHeight="true" outlineLevel="0" collapsed="false">
      <c r="B20" s="132" t="s">
        <v>715</v>
      </c>
      <c r="C20" s="133" t="s">
        <v>716</v>
      </c>
      <c r="D20" s="134" t="s">
        <v>692</v>
      </c>
      <c r="E20" s="135" t="n">
        <v>15</v>
      </c>
      <c r="F20" s="135" t="n">
        <v>7</v>
      </c>
      <c r="G20" s="136" t="n">
        <v>80</v>
      </c>
      <c r="H20" s="137" t="n">
        <f aca="false">E20*F20*G20</f>
        <v>8400</v>
      </c>
    </row>
    <row r="21" customFormat="false" ht="18" hidden="false" customHeight="true" outlineLevel="0" collapsed="false">
      <c r="B21" s="132" t="s">
        <v>717</v>
      </c>
      <c r="C21" s="133" t="s">
        <v>718</v>
      </c>
      <c r="D21" s="134" t="s">
        <v>692</v>
      </c>
      <c r="E21" s="135" t="n">
        <v>2</v>
      </c>
      <c r="F21" s="135" t="n">
        <v>14</v>
      </c>
      <c r="G21" s="136" t="n">
        <v>60</v>
      </c>
      <c r="H21" s="137" t="n">
        <f aca="false">E21*F21*G21</f>
        <v>1680</v>
      </c>
    </row>
    <row r="22" customFormat="false" ht="18" hidden="false" customHeight="true" outlineLevel="0" collapsed="false">
      <c r="B22" s="132" t="s">
        <v>719</v>
      </c>
      <c r="C22" s="133" t="s">
        <v>720</v>
      </c>
      <c r="D22" s="134" t="s">
        <v>692</v>
      </c>
      <c r="E22" s="135" t="n">
        <v>2</v>
      </c>
      <c r="F22" s="135" t="n">
        <v>14</v>
      </c>
      <c r="G22" s="136" t="n">
        <v>100</v>
      </c>
      <c r="H22" s="137" t="n">
        <f aca="false">E22*F22*G22</f>
        <v>2800</v>
      </c>
    </row>
    <row r="23" customFormat="false" ht="18" hidden="false" customHeight="true" outlineLevel="0" collapsed="false">
      <c r="B23" s="132" t="s">
        <v>721</v>
      </c>
      <c r="C23" s="133" t="s">
        <v>722</v>
      </c>
      <c r="D23" s="134" t="s">
        <v>692</v>
      </c>
      <c r="E23" s="135" t="n">
        <v>2</v>
      </c>
      <c r="F23" s="135" t="n">
        <v>7</v>
      </c>
      <c r="G23" s="136" t="n">
        <v>150</v>
      </c>
      <c r="H23" s="137" t="n">
        <f aca="false">E23*F23*G23</f>
        <v>2100</v>
      </c>
    </row>
    <row r="24" customFormat="false" ht="18" hidden="false" customHeight="true" outlineLevel="0" collapsed="false">
      <c r="B24" s="132" t="s">
        <v>723</v>
      </c>
      <c r="C24" s="133" t="s">
        <v>724</v>
      </c>
      <c r="D24" s="134" t="s">
        <v>692</v>
      </c>
      <c r="E24" s="135" t="n">
        <v>3</v>
      </c>
      <c r="F24" s="135" t="n">
        <v>7</v>
      </c>
      <c r="G24" s="136" t="n">
        <v>100</v>
      </c>
      <c r="H24" s="137" t="n">
        <f aca="false">E24*F24*G24</f>
        <v>2100</v>
      </c>
    </row>
    <row r="25" customFormat="false" ht="21.75" hidden="false" customHeight="true" outlineLevel="0" collapsed="false">
      <c r="B25" s="59" t="s">
        <v>725</v>
      </c>
      <c r="C25" s="129"/>
      <c r="D25" s="129"/>
      <c r="E25" s="129"/>
      <c r="F25" s="129"/>
      <c r="G25" s="129"/>
      <c r="H25" s="73" t="n">
        <f aca="false">SUM(H17:H24)</f>
        <v>59280</v>
      </c>
      <c r="I25" s="130"/>
    </row>
    <row r="27" customFormat="false" ht="21.75" hidden="false" customHeight="true" outlineLevel="0" collapsed="false">
      <c r="B27" s="138" t="s">
        <v>726</v>
      </c>
      <c r="C27" s="138"/>
      <c r="D27" s="138"/>
      <c r="E27" s="138"/>
      <c r="F27" s="138"/>
      <c r="G27" s="138"/>
      <c r="H27" s="138"/>
      <c r="I27" s="138"/>
    </row>
    <row r="28" customFormat="false" ht="18" hidden="false" customHeight="true" outlineLevel="0" collapsed="false">
      <c r="B28" s="27" t="s">
        <v>727</v>
      </c>
      <c r="C28" s="33" t="s">
        <v>728</v>
      </c>
      <c r="D28" s="139" t="s">
        <v>692</v>
      </c>
      <c r="E28" s="30" t="n">
        <v>10</v>
      </c>
      <c r="F28" s="30" t="n">
        <v>5</v>
      </c>
      <c r="G28" s="140" t="n">
        <v>60</v>
      </c>
      <c r="H28" s="141" t="n">
        <f aca="false">E28*F28*G28</f>
        <v>3000</v>
      </c>
    </row>
    <row r="29" customFormat="false" ht="18" hidden="false" customHeight="true" outlineLevel="0" collapsed="false">
      <c r="B29" s="27" t="s">
        <v>729</v>
      </c>
      <c r="C29" s="33" t="s">
        <v>730</v>
      </c>
      <c r="D29" s="139" t="s">
        <v>692</v>
      </c>
      <c r="E29" s="30" t="n">
        <v>8</v>
      </c>
      <c r="F29" s="30" t="n">
        <v>7</v>
      </c>
      <c r="G29" s="140" t="n">
        <v>50</v>
      </c>
      <c r="H29" s="141" t="n">
        <f aca="false">E29*F29*G29</f>
        <v>2800</v>
      </c>
    </row>
    <row r="30" customFormat="false" ht="18" hidden="false" customHeight="true" outlineLevel="0" collapsed="false">
      <c r="B30" s="27" t="s">
        <v>731</v>
      </c>
      <c r="C30" s="33" t="s">
        <v>732</v>
      </c>
      <c r="D30" s="139" t="s">
        <v>692</v>
      </c>
      <c r="E30" s="30" t="n">
        <v>1</v>
      </c>
      <c r="F30" s="30" t="n">
        <v>7</v>
      </c>
      <c r="G30" s="140" t="n">
        <v>300</v>
      </c>
      <c r="H30" s="141" t="n">
        <f aca="false">E30*F30*G30</f>
        <v>2100</v>
      </c>
    </row>
    <row r="31" customFormat="false" ht="18" hidden="false" customHeight="true" outlineLevel="0" collapsed="false">
      <c r="B31" s="27" t="s">
        <v>733</v>
      </c>
      <c r="C31" s="33" t="s">
        <v>734</v>
      </c>
      <c r="D31" s="139" t="s">
        <v>735</v>
      </c>
      <c r="E31" s="30" t="n">
        <v>6</v>
      </c>
      <c r="F31" s="30" t="n">
        <v>5</v>
      </c>
      <c r="G31" s="140" t="n">
        <v>30</v>
      </c>
      <c r="H31" s="141" t="n">
        <f aca="false">E31*F31*G31</f>
        <v>900</v>
      </c>
    </row>
    <row r="32" customFormat="false" ht="18" hidden="false" customHeight="true" outlineLevel="0" collapsed="false">
      <c r="B32" s="27" t="s">
        <v>736</v>
      </c>
      <c r="C32" s="33" t="s">
        <v>737</v>
      </c>
      <c r="D32" s="139" t="s">
        <v>735</v>
      </c>
      <c r="E32" s="30" t="n">
        <v>3</v>
      </c>
      <c r="F32" s="30" t="n">
        <v>5</v>
      </c>
      <c r="G32" s="140" t="n">
        <v>40</v>
      </c>
      <c r="H32" s="141" t="n">
        <f aca="false">E32*F32*G32</f>
        <v>600</v>
      </c>
    </row>
    <row r="33" customFormat="false" ht="18" hidden="false" customHeight="true" outlineLevel="0" collapsed="false">
      <c r="B33" s="27" t="s">
        <v>738</v>
      </c>
      <c r="C33" s="33" t="s">
        <v>739</v>
      </c>
      <c r="D33" s="139" t="s">
        <v>740</v>
      </c>
      <c r="E33" s="30" t="n">
        <v>4</v>
      </c>
      <c r="F33" s="30" t="n">
        <v>5</v>
      </c>
      <c r="G33" s="140" t="n">
        <v>60</v>
      </c>
      <c r="H33" s="141" t="n">
        <f aca="false">E33*F33*G33</f>
        <v>1200</v>
      </c>
    </row>
    <row r="34" customFormat="false" ht="18" hidden="false" customHeight="true" outlineLevel="0" collapsed="false">
      <c r="B34" s="27" t="s">
        <v>741</v>
      </c>
      <c r="C34" s="33" t="s">
        <v>742</v>
      </c>
      <c r="D34" s="139" t="s">
        <v>692</v>
      </c>
      <c r="E34" s="30" t="n">
        <v>1</v>
      </c>
      <c r="F34" s="30" t="n">
        <v>7</v>
      </c>
      <c r="G34" s="140" t="n">
        <v>120</v>
      </c>
      <c r="H34" s="141" t="n">
        <f aca="false">E34*F34*G34</f>
        <v>840</v>
      </c>
    </row>
    <row r="35" customFormat="false" ht="18" hidden="false" customHeight="true" outlineLevel="0" collapsed="false">
      <c r="B35" s="27" t="s">
        <v>743</v>
      </c>
      <c r="C35" s="33" t="s">
        <v>744</v>
      </c>
      <c r="D35" s="139" t="s">
        <v>735</v>
      </c>
      <c r="E35" s="30" t="n">
        <v>3</v>
      </c>
      <c r="F35" s="30" t="n">
        <v>5</v>
      </c>
      <c r="G35" s="140" t="n">
        <v>30</v>
      </c>
      <c r="H35" s="141" t="n">
        <f aca="false">E35*F35*G35</f>
        <v>450</v>
      </c>
    </row>
    <row r="36" customFormat="false" ht="18" hidden="false" customHeight="true" outlineLevel="0" collapsed="false">
      <c r="B36" s="27" t="s">
        <v>745</v>
      </c>
      <c r="C36" s="33" t="s">
        <v>746</v>
      </c>
      <c r="D36" s="139" t="s">
        <v>692</v>
      </c>
      <c r="E36" s="30" t="n">
        <v>4</v>
      </c>
      <c r="F36" s="30" t="n">
        <v>7</v>
      </c>
      <c r="G36" s="140" t="n">
        <v>50</v>
      </c>
      <c r="H36" s="141" t="n">
        <f aca="false">E36*F36*G36</f>
        <v>1400</v>
      </c>
    </row>
    <row r="37" customFormat="false" ht="18" hidden="false" customHeight="true" outlineLevel="0" collapsed="false">
      <c r="B37" s="27" t="s">
        <v>747</v>
      </c>
      <c r="C37" s="33" t="s">
        <v>748</v>
      </c>
      <c r="D37" s="139" t="s">
        <v>749</v>
      </c>
      <c r="E37" s="30" t="n">
        <v>10</v>
      </c>
      <c r="F37" s="30" t="n">
        <v>5</v>
      </c>
      <c r="G37" s="140" t="n">
        <v>10</v>
      </c>
      <c r="H37" s="141" t="n">
        <f aca="false">E37*F37*G37</f>
        <v>500</v>
      </c>
    </row>
    <row r="38" customFormat="false" ht="21.75" hidden="false" customHeight="true" outlineLevel="0" collapsed="false">
      <c r="B38" s="59" t="s">
        <v>750</v>
      </c>
      <c r="C38" s="129"/>
      <c r="D38" s="129"/>
      <c r="E38" s="129"/>
      <c r="F38" s="129"/>
      <c r="G38" s="129"/>
      <c r="H38" s="73" t="n">
        <f aca="false">SUM(H28:H37)</f>
        <v>13790</v>
      </c>
      <c r="I38" s="130"/>
    </row>
    <row r="40" customFormat="false" ht="21.75" hidden="false" customHeight="true" outlineLevel="0" collapsed="false">
      <c r="B40" s="142" t="s">
        <v>751</v>
      </c>
      <c r="C40" s="142"/>
      <c r="D40" s="142"/>
      <c r="E40" s="142"/>
      <c r="F40" s="142"/>
      <c r="G40" s="142"/>
      <c r="H40" s="142"/>
      <c r="I40" s="142"/>
    </row>
    <row r="41" customFormat="false" ht="18" hidden="false" customHeight="true" outlineLevel="0" collapsed="false">
      <c r="B41" s="35" t="s">
        <v>536</v>
      </c>
      <c r="C41" s="41" t="s">
        <v>752</v>
      </c>
      <c r="D41" s="143" t="s">
        <v>753</v>
      </c>
      <c r="E41" s="38" t="n">
        <v>5</v>
      </c>
      <c r="F41" s="38" t="n">
        <v>14</v>
      </c>
      <c r="G41" s="144" t="n">
        <v>175</v>
      </c>
      <c r="H41" s="145" t="n">
        <f aca="false">E41*F41*G41</f>
        <v>12250</v>
      </c>
    </row>
    <row r="42" customFormat="false" ht="18" hidden="false" customHeight="true" outlineLevel="0" collapsed="false">
      <c r="B42" s="35" t="s">
        <v>754</v>
      </c>
      <c r="C42" s="41" t="s">
        <v>755</v>
      </c>
      <c r="D42" s="143" t="s">
        <v>692</v>
      </c>
      <c r="E42" s="38" t="n">
        <v>0.3</v>
      </c>
      <c r="F42" s="38" t="n">
        <v>30</v>
      </c>
      <c r="G42" s="144" t="n">
        <v>600</v>
      </c>
      <c r="H42" s="145" t="n">
        <f aca="false">E42*F42*G42</f>
        <v>5400</v>
      </c>
    </row>
    <row r="43" customFormat="false" ht="18" hidden="false" customHeight="true" outlineLevel="0" collapsed="false">
      <c r="B43" s="35" t="s">
        <v>756</v>
      </c>
      <c r="C43" s="41" t="s">
        <v>757</v>
      </c>
      <c r="D43" s="143" t="s">
        <v>692</v>
      </c>
      <c r="E43" s="38" t="n">
        <v>0.2</v>
      </c>
      <c r="F43" s="38" t="n">
        <v>30</v>
      </c>
      <c r="G43" s="144" t="n">
        <v>700</v>
      </c>
      <c r="H43" s="145" t="n">
        <f aca="false">E43*F43*G43</f>
        <v>4200</v>
      </c>
    </row>
    <row r="44" customFormat="false" ht="18" hidden="false" customHeight="true" outlineLevel="0" collapsed="false">
      <c r="B44" s="35" t="s">
        <v>758</v>
      </c>
      <c r="C44" s="41" t="s">
        <v>759</v>
      </c>
      <c r="D44" s="143" t="s">
        <v>692</v>
      </c>
      <c r="E44" s="38" t="n">
        <v>0.2</v>
      </c>
      <c r="F44" s="38" t="n">
        <v>30</v>
      </c>
      <c r="G44" s="144" t="n">
        <v>800</v>
      </c>
      <c r="H44" s="145" t="n">
        <f aca="false">E44*F44*G44</f>
        <v>4800</v>
      </c>
    </row>
    <row r="45" customFormat="false" ht="18" hidden="false" customHeight="true" outlineLevel="0" collapsed="false">
      <c r="B45" s="35" t="s">
        <v>760</v>
      </c>
      <c r="C45" s="41" t="s">
        <v>761</v>
      </c>
      <c r="D45" s="143" t="s">
        <v>692</v>
      </c>
      <c r="E45" s="38" t="n">
        <v>1</v>
      </c>
      <c r="F45" s="38" t="n">
        <v>14</v>
      </c>
      <c r="G45" s="144" t="n">
        <v>50</v>
      </c>
      <c r="H45" s="145" t="n">
        <f aca="false">E45*F45*G45</f>
        <v>700</v>
      </c>
    </row>
    <row r="46" customFormat="false" ht="18" hidden="false" customHeight="true" outlineLevel="0" collapsed="false">
      <c r="B46" s="35" t="s">
        <v>762</v>
      </c>
      <c r="C46" s="41" t="s">
        <v>763</v>
      </c>
      <c r="D46" s="143" t="s">
        <v>692</v>
      </c>
      <c r="E46" s="38" t="n">
        <v>1</v>
      </c>
      <c r="F46" s="38" t="n">
        <v>14</v>
      </c>
      <c r="G46" s="144" t="n">
        <v>90</v>
      </c>
      <c r="H46" s="145" t="n">
        <f aca="false">E46*F46*G46</f>
        <v>1260</v>
      </c>
    </row>
    <row r="47" customFormat="false" ht="18" hidden="false" customHeight="true" outlineLevel="0" collapsed="false">
      <c r="B47" s="35" t="s">
        <v>764</v>
      </c>
      <c r="C47" s="41" t="s">
        <v>765</v>
      </c>
      <c r="D47" s="143" t="s">
        <v>766</v>
      </c>
      <c r="E47" s="38" t="n">
        <v>2</v>
      </c>
      <c r="F47" s="38" t="n">
        <v>14</v>
      </c>
      <c r="G47" s="144" t="n">
        <v>100</v>
      </c>
      <c r="H47" s="145" t="n">
        <f aca="false">E47*F47*G47</f>
        <v>2800</v>
      </c>
    </row>
    <row r="48" customFormat="false" ht="18" hidden="false" customHeight="true" outlineLevel="0" collapsed="false">
      <c r="B48" s="35" t="s">
        <v>767</v>
      </c>
      <c r="C48" s="41" t="s">
        <v>768</v>
      </c>
      <c r="D48" s="143" t="s">
        <v>766</v>
      </c>
      <c r="E48" s="38" t="n">
        <v>3</v>
      </c>
      <c r="F48" s="38" t="n">
        <v>14</v>
      </c>
      <c r="G48" s="144" t="n">
        <v>120</v>
      </c>
      <c r="H48" s="145" t="n">
        <f aca="false">E48*F48*G48</f>
        <v>5040</v>
      </c>
    </row>
    <row r="49" customFormat="false" ht="18" hidden="false" customHeight="true" outlineLevel="0" collapsed="false">
      <c r="B49" s="125" t="s">
        <v>769</v>
      </c>
      <c r="C49" s="49" t="s">
        <v>770</v>
      </c>
      <c r="D49" s="126" t="s">
        <v>771</v>
      </c>
      <c r="E49" s="46" t="n">
        <v>1</v>
      </c>
      <c r="F49" s="46" t="n">
        <v>30</v>
      </c>
      <c r="G49" s="127" t="n">
        <v>180</v>
      </c>
      <c r="H49" s="128" t="n">
        <f aca="false">E49*F49*G49</f>
        <v>5400</v>
      </c>
    </row>
    <row r="50" customFormat="false" ht="21.75" hidden="false" customHeight="true" outlineLevel="0" collapsed="false">
      <c r="B50" s="59" t="s">
        <v>772</v>
      </c>
      <c r="C50" s="129"/>
      <c r="D50" s="129"/>
      <c r="E50" s="129"/>
      <c r="F50" s="129"/>
      <c r="G50" s="129"/>
      <c r="H50" s="73" t="n">
        <f aca="false">SUM(H41:H49)</f>
        <v>41850</v>
      </c>
      <c r="I50" s="130"/>
    </row>
    <row r="52" customFormat="false" ht="21.75" hidden="false" customHeight="true" outlineLevel="0" collapsed="false">
      <c r="B52" s="146" t="s">
        <v>773</v>
      </c>
      <c r="C52" s="146"/>
      <c r="D52" s="146"/>
      <c r="E52" s="146"/>
      <c r="F52" s="146"/>
      <c r="G52" s="146"/>
      <c r="H52" s="146"/>
      <c r="I52" s="146"/>
    </row>
    <row r="53" customFormat="false" ht="18" hidden="false" customHeight="true" outlineLevel="0" collapsed="false">
      <c r="B53" s="147" t="s">
        <v>774</v>
      </c>
      <c r="C53" s="148" t="s">
        <v>775</v>
      </c>
      <c r="D53" s="149" t="s">
        <v>753</v>
      </c>
      <c r="E53" s="150" t="n">
        <v>8</v>
      </c>
      <c r="F53" s="150" t="n">
        <v>5</v>
      </c>
      <c r="G53" s="151" t="n">
        <v>70</v>
      </c>
      <c r="H53" s="152" t="n">
        <f aca="false">E53*F53*G53</f>
        <v>2800</v>
      </c>
    </row>
    <row r="54" customFormat="false" ht="18" hidden="false" customHeight="true" outlineLevel="0" collapsed="false">
      <c r="B54" s="147" t="s">
        <v>776</v>
      </c>
      <c r="C54" s="148" t="s">
        <v>777</v>
      </c>
      <c r="D54" s="149" t="s">
        <v>778</v>
      </c>
      <c r="E54" s="150" t="n">
        <v>3</v>
      </c>
      <c r="F54" s="150" t="n">
        <v>7</v>
      </c>
      <c r="G54" s="151" t="n">
        <v>650</v>
      </c>
      <c r="H54" s="152" t="n">
        <f aca="false">E54*F54*G54</f>
        <v>13650</v>
      </c>
    </row>
    <row r="55" customFormat="false" ht="18" hidden="false" customHeight="true" outlineLevel="0" collapsed="false">
      <c r="B55" s="147" t="s">
        <v>779</v>
      </c>
      <c r="C55" s="148" t="s">
        <v>780</v>
      </c>
      <c r="D55" s="149" t="s">
        <v>692</v>
      </c>
      <c r="E55" s="150" t="n">
        <v>0.5</v>
      </c>
      <c r="F55" s="150" t="n">
        <v>14</v>
      </c>
      <c r="G55" s="151" t="n">
        <v>700</v>
      </c>
      <c r="H55" s="152" t="n">
        <f aca="false">E55*F55*G55</f>
        <v>4900</v>
      </c>
    </row>
    <row r="56" customFormat="false" ht="18" hidden="false" customHeight="true" outlineLevel="0" collapsed="false">
      <c r="B56" s="147" t="s">
        <v>781</v>
      </c>
      <c r="C56" s="148" t="s">
        <v>782</v>
      </c>
      <c r="D56" s="149" t="s">
        <v>766</v>
      </c>
      <c r="E56" s="150" t="n">
        <v>1</v>
      </c>
      <c r="F56" s="150" t="n">
        <v>14</v>
      </c>
      <c r="G56" s="151" t="n">
        <v>400</v>
      </c>
      <c r="H56" s="152" t="n">
        <f aca="false">E56*F56*G56</f>
        <v>5600</v>
      </c>
    </row>
    <row r="57" customFormat="false" ht="18" hidden="false" customHeight="true" outlineLevel="0" collapsed="false">
      <c r="B57" s="147" t="s">
        <v>783</v>
      </c>
      <c r="C57" s="148" t="s">
        <v>784</v>
      </c>
      <c r="D57" s="149" t="s">
        <v>785</v>
      </c>
      <c r="E57" s="150" t="n">
        <v>2</v>
      </c>
      <c r="F57" s="150" t="n">
        <v>7</v>
      </c>
      <c r="G57" s="151" t="n">
        <v>2800</v>
      </c>
      <c r="H57" s="152" t="n">
        <f aca="false">E57*F57*G57</f>
        <v>39200</v>
      </c>
    </row>
    <row r="58" customFormat="false" ht="18" hidden="false" customHeight="true" outlineLevel="0" collapsed="false">
      <c r="B58" s="147" t="s">
        <v>786</v>
      </c>
      <c r="C58" s="148" t="s">
        <v>787</v>
      </c>
      <c r="D58" s="149" t="s">
        <v>692</v>
      </c>
      <c r="E58" s="150" t="n">
        <v>3</v>
      </c>
      <c r="F58" s="150" t="n">
        <v>5</v>
      </c>
      <c r="G58" s="151" t="n">
        <v>80</v>
      </c>
      <c r="H58" s="152" t="n">
        <f aca="false">E58*F58*G58</f>
        <v>1200</v>
      </c>
    </row>
    <row r="59" customFormat="false" ht="18" hidden="false" customHeight="true" outlineLevel="0" collapsed="false">
      <c r="B59" s="147" t="s">
        <v>788</v>
      </c>
      <c r="C59" s="148" t="s">
        <v>789</v>
      </c>
      <c r="D59" s="149" t="s">
        <v>785</v>
      </c>
      <c r="E59" s="150" t="n">
        <v>1</v>
      </c>
      <c r="F59" s="150" t="n">
        <v>14</v>
      </c>
      <c r="G59" s="151" t="n">
        <v>2200</v>
      </c>
      <c r="H59" s="152" t="n">
        <f aca="false">E59*F59*G59</f>
        <v>30800</v>
      </c>
    </row>
    <row r="60" customFormat="false" ht="21.75" hidden="false" customHeight="true" outlineLevel="0" collapsed="false">
      <c r="B60" s="59" t="s">
        <v>790</v>
      </c>
      <c r="C60" s="129"/>
      <c r="D60" s="129"/>
      <c r="E60" s="129"/>
      <c r="F60" s="129"/>
      <c r="G60" s="129"/>
      <c r="H60" s="73" t="n">
        <f aca="false">SUM(H53:H59)</f>
        <v>98150</v>
      </c>
      <c r="I60" s="130"/>
    </row>
    <row r="62" customFormat="false" ht="30" hidden="false" customHeight="true" outlineLevel="0" collapsed="false">
      <c r="B62" s="81" t="s">
        <v>791</v>
      </c>
      <c r="C62" s="81"/>
      <c r="D62" s="81"/>
      <c r="E62" s="81"/>
      <c r="F62" s="81"/>
      <c r="G62" s="81"/>
      <c r="H62" s="82" t="n">
        <f aca="false">SUM(H6:H59)</f>
        <v>471110</v>
      </c>
      <c r="I62" s="153"/>
    </row>
    <row r="64" customFormat="false" ht="15" hidden="false" customHeight="true" outlineLevel="0" collapsed="false">
      <c r="B64" s="22" t="s">
        <v>792</v>
      </c>
      <c r="C64" s="22"/>
      <c r="D64" s="22"/>
      <c r="E64" s="22"/>
      <c r="F64" s="22"/>
      <c r="G64" s="22"/>
      <c r="H64" s="22"/>
      <c r="I64" s="22"/>
    </row>
  </sheetData>
  <mergeCells count="14">
    <mergeCell ref="B1:I1"/>
    <mergeCell ref="B2:I2"/>
    <mergeCell ref="B5:I5"/>
    <mergeCell ref="C14:G14"/>
    <mergeCell ref="B16:I16"/>
    <mergeCell ref="C25:G25"/>
    <mergeCell ref="B27:I27"/>
    <mergeCell ref="C38:G38"/>
    <mergeCell ref="B40:I40"/>
    <mergeCell ref="C50:G50"/>
    <mergeCell ref="B52:I52"/>
    <mergeCell ref="C60:G60"/>
    <mergeCell ref="B62:G62"/>
    <mergeCell ref="B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2026-05-26T00:42:51Z</dcterms:created>
  <dc:creator>openpyxl</dc:creator>
  <dc:description/>
  <dc:language>en-US</dc:language>
  <cp:lastModifiedBy/>
  <dcterms:modified xsi:type="dcterms:W3CDTF">2026-05-26T00:48:18Z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